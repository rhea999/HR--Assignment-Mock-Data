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5709d8d12597700/Desktop/"/>
    </mc:Choice>
  </mc:AlternateContent>
  <xr:revisionPtr revIDLastSave="0" documentId="8_{54E31F31-4626-4623-9FEF-EA0E4F1BB66F}" xr6:coauthVersionLast="47" xr6:coauthVersionMax="47" xr10:uidLastSave="{00000000-0000-0000-0000-000000000000}"/>
  <bookViews>
    <workbookView xWindow="-108" yWindow="-108" windowWidth="23256" windowHeight="12456" activeTab="4" xr2:uid="{4B444465-4FC6-44D6-B5A5-7CA637602D81}"/>
  </bookViews>
  <sheets>
    <sheet name="Raw Data" sheetId="1" r:id="rId1"/>
    <sheet name="A" sheetId="2" r:id="rId2"/>
    <sheet name="A Data" sheetId="4" r:id="rId3"/>
    <sheet name="B" sheetId="5" r:id="rId4"/>
    <sheet name="B Extension" sheetId="9" r:id="rId5"/>
  </sheets>
  <definedNames>
    <definedName name="_xlchart.v1.0" hidden="1">'B Extension'!$A$5:$B$18</definedName>
    <definedName name="_xlchart.v1.1" hidden="1">'B Extension'!$C$4</definedName>
    <definedName name="_xlchart.v1.2" hidden="1">'B Extension'!$C$5:$C$18</definedName>
    <definedName name="_xlchart.v1.3" hidden="1">'B Extension'!$D$4</definedName>
    <definedName name="_xlchart.v1.4" hidden="1">'B Extension'!$D$5:$D$18</definedName>
    <definedName name="_xlchart.v1.5" hidden="1">'B Extension'!$A$5:$B$18</definedName>
    <definedName name="_xlchart.v1.6" hidden="1">'B Extension'!$C$4</definedName>
    <definedName name="_xlchart.v1.7" hidden="1">'B Extension'!$C$5:$C$18</definedName>
    <definedName name="_xlchart.v1.8" hidden="1">'B Extension'!$D$4</definedName>
    <definedName name="_xlchart.v1.9" hidden="1">'B Extension'!$D$5:$D$18</definedName>
    <definedName name="Slicer_Dept">#N/A</definedName>
    <definedName name="Slicer_Dept1">#N/A</definedName>
    <definedName name="Slicer_Exit_Reason">#N/A</definedName>
    <definedName name="Slicer_Gender">#N/A</definedName>
    <definedName name="Slicer_Gender1">#N/A</definedName>
    <definedName name="Slicer_Job_Level">#N/A</definedName>
    <definedName name="Slicer_Job_Level1">#N/A</definedName>
    <definedName name="Slicer_Location">#N/A</definedName>
    <definedName name="Slicer_Location1">#N/A</definedName>
  </definedNames>
  <calcPr calcId="191029"/>
  <pivotCaches>
    <pivotCache cacheId="39"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<sst xmlns="http://schemas.openxmlformats.org/spreadsheetml/2006/main" count="562" uniqueCount="119">
  <si>
    <t>Name</t>
  </si>
  <si>
    <t>Salary (INR)</t>
  </si>
  <si>
    <t>E001</t>
  </si>
  <si>
    <t>Aarav Patel</t>
  </si>
  <si>
    <t>Sales</t>
  </si>
  <si>
    <t>E002</t>
  </si>
  <si>
    <t>Priya Sharma</t>
  </si>
  <si>
    <t>Marketing</t>
  </si>
  <si>
    <t>E003</t>
  </si>
  <si>
    <t>Rahul Kumar</t>
  </si>
  <si>
    <t>Finance</t>
  </si>
  <si>
    <t>E004</t>
  </si>
  <si>
    <t>Anjali Mehta</t>
  </si>
  <si>
    <t>HR</t>
  </si>
  <si>
    <t>E005</t>
  </si>
  <si>
    <t>Vikram Singh</t>
  </si>
  <si>
    <t>E006</t>
  </si>
  <si>
    <t>Sneha Gupta</t>
  </si>
  <si>
    <t>E007</t>
  </si>
  <si>
    <t>Mohan Das</t>
  </si>
  <si>
    <t>E008</t>
  </si>
  <si>
    <t>Nisha Rao</t>
  </si>
  <si>
    <t>Emp ID</t>
  </si>
  <si>
    <t>Dept</t>
  </si>
  <si>
    <t>Location</t>
  </si>
  <si>
    <t>DOJ</t>
  </si>
  <si>
    <t>Exit Date</t>
  </si>
  <si>
    <t>Age</t>
  </si>
  <si>
    <t>Gender</t>
  </si>
  <si>
    <t>Marital Status</t>
  </si>
  <si>
    <t>Education</t>
  </si>
  <si>
    <t>Job Level</t>
  </si>
  <si>
    <t>Bonus (INR)</t>
  </si>
  <si>
    <t>Perf. Rating</t>
  </si>
  <si>
    <t>Service (yrs)</t>
  </si>
  <si>
    <t>Manager Name</t>
  </si>
  <si>
    <t>Exit Reason</t>
  </si>
  <si>
    <t>Saket</t>
  </si>
  <si>
    <t>Male</t>
  </si>
  <si>
    <t>Married</t>
  </si>
  <si>
    <t>MBA</t>
  </si>
  <si>
    <t>Manager</t>
  </si>
  <si>
    <t>N</t>
  </si>
  <si>
    <t>S. Verma</t>
  </si>
  <si>
    <t>15/03/2020</t>
  </si>
  <si>
    <t>15/03/2024</t>
  </si>
  <si>
    <t>Female</t>
  </si>
  <si>
    <t>PGDM</t>
  </si>
  <si>
    <t>Y</t>
  </si>
  <si>
    <t>A. Singh</t>
  </si>
  <si>
    <t>Better Opportunity</t>
  </si>
  <si>
    <t>Single</t>
  </si>
  <si>
    <t>CA</t>
  </si>
  <si>
    <t>M. Das</t>
  </si>
  <si>
    <t>N. Rao</t>
  </si>
  <si>
    <t>20/06/2021</t>
  </si>
  <si>
    <t>25/07/2020</t>
  </si>
  <si>
    <t>25/07/2023</t>
  </si>
  <si>
    <t>Relocation</t>
  </si>
  <si>
    <t>18/08/2022</t>
  </si>
  <si>
    <t>E009</t>
  </si>
  <si>
    <t>John Lee</t>
  </si>
  <si>
    <t>IT</t>
  </si>
  <si>
    <t>Singapore</t>
  </si>
  <si>
    <t>B.Tech</t>
  </si>
  <si>
    <t>J. Tan</t>
  </si>
  <si>
    <t>E010</t>
  </si>
  <si>
    <t>Sara Khan</t>
  </si>
  <si>
    <t>Dubai</t>
  </si>
  <si>
    <t>E011</t>
  </si>
  <si>
    <t>Omar Farooq</t>
  </si>
  <si>
    <t>E012</t>
  </si>
  <si>
    <t>E013</t>
  </si>
  <si>
    <t>Rohan Gupta</t>
  </si>
  <si>
    <t>E014</t>
  </si>
  <si>
    <t>Fatima Sheikh</t>
  </si>
  <si>
    <t>E015</t>
  </si>
  <si>
    <t>Alex Brown</t>
  </si>
  <si>
    <t>VP</t>
  </si>
  <si>
    <t>Bangalore</t>
  </si>
  <si>
    <t>AVP</t>
  </si>
  <si>
    <t>Mumbai</t>
  </si>
  <si>
    <t>DVP</t>
  </si>
  <si>
    <t>Personal Reasons</t>
  </si>
  <si>
    <t>Retirement</t>
  </si>
  <si>
    <t>Executive</t>
  </si>
  <si>
    <t>Company Restructuring</t>
  </si>
  <si>
    <t>DM</t>
  </si>
  <si>
    <t>Kiran Desai</t>
  </si>
  <si>
    <t>Higher Education</t>
  </si>
  <si>
    <t>E016</t>
  </si>
  <si>
    <t>Ajay Sinha</t>
  </si>
  <si>
    <t>E017</t>
  </si>
  <si>
    <t>Meera Joshi</t>
  </si>
  <si>
    <t>15/05/2021</t>
  </si>
  <si>
    <t>E018</t>
  </si>
  <si>
    <t>Deepak Rawat</t>
  </si>
  <si>
    <t>E019</t>
  </si>
  <si>
    <t>Alok Mishra</t>
  </si>
  <si>
    <t>E020</t>
  </si>
  <si>
    <t>Ritu Singh</t>
  </si>
  <si>
    <t>15/07/2020</t>
  </si>
  <si>
    <t>E021</t>
  </si>
  <si>
    <t>Shyam Sundar</t>
  </si>
  <si>
    <t>E022</t>
  </si>
  <si>
    <t>Pooja Reddy</t>
  </si>
  <si>
    <t>E023</t>
  </si>
  <si>
    <t>Rajeev Nair</t>
  </si>
  <si>
    <t>E024</t>
  </si>
  <si>
    <t>Tanya Kapoor</t>
  </si>
  <si>
    <t>E025</t>
  </si>
  <si>
    <t>Gaurav Jain</t>
  </si>
  <si>
    <t>Active</t>
  </si>
  <si>
    <t>Row Labels</t>
  </si>
  <si>
    <t>Grand Total</t>
  </si>
  <si>
    <t>Column Labels</t>
  </si>
  <si>
    <t>Count of  Emp ID</t>
  </si>
  <si>
    <t>Average of Salary (INR)</t>
  </si>
  <si>
    <t>Average of Bonus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</si>
</sst>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9.6"/>
      <color theme="1"/>
      <name val="Segoe UI"/>
      <family val="2"/>
    </font>
    <font>
      <b/>
      <sz val="9.6"/>
      <color theme="1"/>
      <name val="Segoe UI"/>
      <family val="2"/>
    </font>
    <font>
      <b/>
      <sz val="9.6"/>
      <color theme="0"/>
      <name val="Segoe UI"/>
      <family val="2"/>
    </font>
    <font>
      <b/>
      <sz val="9.6"/>
      <name val="Segoe UI"/>
      <family val="2"/>
    </font>
    <font>
      <b/>
      <sz val="11"/>
      <name val="Aptos Narrow"/>
      <family val="2"/>
      <scheme val="minor"/>
    </font>
    <font>
      <sz val="9.6"/>
      <name val="Segoe UI"/>
      <family val="2"/>
    </font>
    <font>
      <sz val="11"/>
      <name val="Aptos Narrow"/>
      <family val="2"/>
      <scheme val="minor"/>
    </font>
  </fonts>
  <fills count="3">
    <fill>
      <patternFill patternType="none"/>
    </fill>
    <fill>
      <patternFill patternType="gray125"/>
    </fill>
    <fill>
      <patternFill patternType="solid">
        <fgColor theme="4"/>
        <bgColor theme="4"/>
      </patternFill>
    </fill>
  </fills>
  <borders count="5">
    <border>
      <left/>
      <right/>
      <top/>
      <bottom/>
      <diagonal/>
    </border>
    <border>
      <left/>
      <right/>
      <top/>
      <bottom style="medium">
        <color rgb="FF000000"/>
      </bottom>
      <diagonal/>
    </border>
    <border>
      <left/>
      <right/>
      <top style="thin">
        <color theme="4"/>
      </top>
      <bottom/>
      <diagonal/>
    </border>
    <border>
      <left/>
      <right/>
      <top style="thin">
        <color theme="4"/>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0" xfId="0" applyAlignment="1">
      <alignment horizontal="center" vertical="center"/>
    </xf>
    <xf numFmtId="0" fontId="1" fillId="0" borderId="1" xfId="0" applyFont="1" applyBorder="1" applyAlignment="1">
      <alignment horizontal="center" wrapText="1"/>
    </xf>
    <xf numFmtId="14" fontId="1" fillId="0" borderId="1" xfId="0" applyNumberFormat="1" applyFont="1" applyBorder="1" applyAlignment="1">
      <alignment horizontal="center" wrapText="1"/>
    </xf>
    <xf numFmtId="3" fontId="1" fillId="0" borderId="1" xfId="0" applyNumberFormat="1" applyFont="1" applyBorder="1" applyAlignment="1">
      <alignment horizontal="center" wrapText="1"/>
    </xf>
    <xf numFmtId="0" fontId="1" fillId="0" borderId="0" xfId="0" applyFont="1" applyAlignment="1">
      <alignment horizontal="center" wrapText="1"/>
    </xf>
    <xf numFmtId="14" fontId="1" fillId="0" borderId="0" xfId="0" applyNumberFormat="1" applyFont="1" applyAlignment="1">
      <alignment horizontal="center" wrapText="1"/>
    </xf>
    <xf numFmtId="3" fontId="1" fillId="0" borderId="0" xfId="0" applyNumberFormat="1" applyFont="1" applyAlignment="1">
      <alignment horizontal="center" wrapText="1"/>
    </xf>
    <xf numFmtId="0" fontId="2" fillId="0" borderId="0" xfId="0" applyFont="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9" fontId="0" fillId="0" borderId="0" xfId="0" pivotButton="1" applyNumberFormat="1"/>
    <xf numFmtId="0" fontId="1" fillId="0" borderId="3" xfId="0" applyFont="1" applyBorder="1" applyAlignment="1">
      <alignment horizontal="center" wrapText="1"/>
    </xf>
    <xf numFmtId="3" fontId="1" fillId="0" borderId="3" xfId="0" applyNumberFormat="1" applyFont="1" applyBorder="1" applyAlignment="1">
      <alignment horizontal="center" wrapText="1"/>
    </xf>
    <xf numFmtId="0" fontId="4" fillId="2" borderId="4" xfId="0" applyFont="1" applyFill="1" applyBorder="1" applyAlignment="1">
      <alignment horizontal="center" vertical="top"/>
    </xf>
    <xf numFmtId="0" fontId="5" fillId="0" borderId="4" xfId="0" applyFont="1" applyBorder="1" applyAlignment="1"/>
    <xf numFmtId="0" fontId="6" fillId="0" borderId="4" xfId="0" applyFont="1" applyBorder="1" applyAlignment="1">
      <alignment horizontal="center" wrapText="1"/>
    </xf>
    <xf numFmtId="0" fontId="6" fillId="0" borderId="4" xfId="0" applyFont="1" applyBorder="1" applyAlignment="1">
      <alignment horizontal="center"/>
    </xf>
    <xf numFmtId="3" fontId="6" fillId="0" borderId="4" xfId="0" applyNumberFormat="1" applyFont="1" applyBorder="1" applyAlignment="1">
      <alignment horizontal="center" wrapText="1"/>
    </xf>
    <xf numFmtId="0" fontId="7" fillId="0" borderId="4" xfId="0" applyFont="1" applyBorder="1"/>
    <xf numFmtId="14" fontId="6" fillId="0" borderId="4" xfId="0" applyNumberFormat="1" applyFont="1" applyBorder="1" applyAlignment="1">
      <alignment horizontal="center" wrapText="1"/>
    </xf>
    <xf numFmtId="0" fontId="7" fillId="0" borderId="4" xfId="0" applyFont="1" applyBorder="1" applyAlignment="1"/>
    <xf numFmtId="3" fontId="0" fillId="0" borderId="0" xfId="0" applyNumberFormat="1"/>
    <xf numFmtId="0" fontId="0" fillId="0" borderId="0" xfId="0" applyAlignment="1">
      <alignment horizontal="left" indent="2"/>
    </xf>
    <xf numFmtId="0" fontId="0" fillId="0" borderId="0" xfId="0" applyFont="1" applyAlignment="1">
      <alignment horizontal="left"/>
    </xf>
    <xf numFmtId="3" fontId="0" fillId="0" borderId="0" xfId="0" applyNumberFormat="1" applyFont="1"/>
    <xf numFmtId="0" fontId="0" fillId="0" borderId="0" xfId="0" applyFont="1" applyAlignment="1">
      <alignment horizontal="left" indent="1"/>
    </xf>
    <xf numFmtId="0" fontId="0" fillId="0" borderId="0" xfId="0" applyFont="1" applyAlignment="1">
      <alignment horizontal="left" indent="2"/>
    </xf>
    <xf numFmtId="0" fontId="0" fillId="0" borderId="0" xfId="0" pivotButton="1" applyFont="1" applyAlignment="1">
      <alignment wrapText="1"/>
    </xf>
    <xf numFmtId="0" fontId="0" fillId="0" borderId="0" xfId="0" applyFont="1" applyAlignment="1">
      <alignment wrapText="1"/>
    </xf>
    <xf numFmtId="0" fontId="0" fillId="0" borderId="0" xfId="0" pivotButton="1" applyAlignment="1">
      <alignment wrapText="1"/>
    </xf>
    <xf numFmtId="0" fontId="0" fillId="0" borderId="0" xfId="0" applyAlignment="1">
      <alignment wrapText="1"/>
    </xf>
    <xf numFmtId="0" fontId="3" fillId="2" borderId="0" xfId="0" applyFont="1" applyFill="1" applyBorder="1" applyAlignment="1">
      <alignment horizontal="center" vertical="top" wrapText="1"/>
    </xf>
    <xf numFmtId="0" fontId="1" fillId="0" borderId="2" xfId="0" applyFont="1" applyBorder="1" applyAlignment="1">
      <alignment horizontal="center" wrapText="1"/>
    </xf>
    <xf numFmtId="3" fontId="1" fillId="0" borderId="2" xfId="0" applyNumberFormat="1" applyFont="1" applyBorder="1" applyAlignment="1">
      <alignment horizontal="center" wrapText="1"/>
    </xf>
  </cellXfs>
  <cellStyles count="1">
    <cellStyle name="Normal" xfId="0" builtinId="0"/>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9.6"/>
        <color theme="0"/>
        <name val="Segoe UI"/>
        <family val="2"/>
        <scheme val="none"/>
      </font>
      <fill>
        <patternFill patternType="solid">
          <fgColor theme="4"/>
          <bgColor theme="4"/>
        </patternFill>
      </fill>
      <alignment horizontal="center" vertical="top" textRotation="0" wrapText="1" indent="0" justifyLastLine="0" shrinkToFit="0" readingOrder="0"/>
    </dxf>
    <dxf>
      <font>
        <b val="0"/>
        <i val="0"/>
        <strike val="0"/>
        <condense val="0"/>
        <extend val="0"/>
        <outline val="0"/>
        <shadow val="0"/>
        <u val="none"/>
        <vertAlign val="baseline"/>
        <sz val="9.6"/>
        <color theme="1"/>
        <name val="Segoe UI"/>
        <family val="2"/>
        <scheme val="none"/>
      </font>
      <numFmt numFmtId="3" formatCode="#,##0"/>
      <alignment horizontal="center" vertical="bottom" textRotation="0" wrapText="1" indent="0" justifyLastLine="0" shrinkToFit="0" readingOrder="0"/>
      <border diagonalUp="0" diagonalDown="0">
        <left/>
        <right/>
        <top style="thin">
          <color theme="4"/>
        </top>
        <bottom style="medium">
          <color rgb="FF000000"/>
        </bottom>
        <vertical/>
        <horizontal/>
      </border>
    </dxf>
    <dxf>
      <font>
        <b val="0"/>
        <i val="0"/>
        <strike val="0"/>
        <condense val="0"/>
        <extend val="0"/>
        <outline val="0"/>
        <shadow val="0"/>
        <u val="none"/>
        <vertAlign val="baseline"/>
        <sz val="9.6"/>
        <color theme="1"/>
        <name val="Segoe UI"/>
        <family val="2"/>
        <scheme val="none"/>
      </font>
      <numFmt numFmtId="3" formatCode="#,##0"/>
      <alignment horizontal="center" vertical="bottom" textRotation="0" wrapText="1" indent="0" justifyLastLine="0" shrinkToFit="0" readingOrder="0"/>
      <border diagonalUp="0" diagonalDown="0">
        <left/>
        <right/>
        <top style="thin">
          <color theme="4"/>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center" vertical="bottom" textRotation="0" wrapText="1" indent="0" justifyLastLine="0" shrinkToFit="0" readingOrder="0"/>
      <border diagonalUp="0" diagonalDown="0">
        <left/>
        <right/>
        <top style="thin">
          <color theme="4"/>
        </top>
        <bottom style="medium">
          <color rgb="FF000000"/>
        </bottom>
        <vertical/>
        <horizontal/>
      </border>
    </dxf>
    <dxf>
      <font>
        <b val="0"/>
        <i val="0"/>
        <strike val="0"/>
        <condense val="0"/>
        <extend val="0"/>
        <outline val="0"/>
        <shadow val="0"/>
        <u val="none"/>
        <vertAlign val="baseline"/>
        <sz val="9.6"/>
        <color theme="1"/>
        <name val="Segoe UI"/>
        <family val="2"/>
        <scheme val="none"/>
      </font>
      <alignment horizontal="center" vertical="bottom" textRotation="0" wrapText="1" indent="0" justifyLastLine="0" shrinkToFit="0" readingOrder="0"/>
      <border diagonalUp="0" diagonalDown="0">
        <left/>
        <right/>
        <top style="thin">
          <color theme="4"/>
        </top>
        <bottom style="medium">
          <color rgb="FF000000"/>
        </bottom>
        <vertical/>
        <horizontal/>
      </border>
    </dxf>
    <dxf>
      <border outline="0">
        <top style="thin">
          <color theme="4"/>
        </top>
        <bottom style="thin">
          <color theme="4"/>
        </bottom>
      </border>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30" formatCode="@"/>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excel.xlsx]A!PivotTable3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A!$B$16:$B$17</c:f>
              <c:strCache>
                <c:ptCount val="1"/>
                <c:pt idx="0">
                  <c:v>Finance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A!$A$18:$A$24</c:f>
              <c:strCache>
                <c:ptCount val="6"/>
                <c:pt idx="0">
                  <c:v>Better Opportunity</c:v>
                </c:pt>
                <c:pt idx="1">
                  <c:v>Company Restructuring</c:v>
                </c:pt>
                <c:pt idx="2">
                  <c:v>Higher Education</c:v>
                </c:pt>
                <c:pt idx="3">
                  <c:v>Personal Reasons</c:v>
                </c:pt>
                <c:pt idx="4">
                  <c:v>Relocation</c:v>
                </c:pt>
                <c:pt idx="5">
                  <c:v>Retirement</c:v>
                </c:pt>
              </c:strCache>
            </c:strRef>
          </c:cat>
          <c:val>
            <c:numRef>
              <c:f>A!$B$18:$B$24</c:f>
              <c:numCache>
                <c:formatCode>General</c:formatCode>
                <c:ptCount val="6"/>
                <c:pt idx="3">
                  <c:v>1</c:v>
                </c:pt>
                <c:pt idx="5">
                  <c:v>1</c:v>
                </c:pt>
              </c:numCache>
            </c:numRef>
          </c:val>
          <c:extLst>
            <c:ext xmlns:c16="http://schemas.microsoft.com/office/drawing/2014/chart" uri="{C3380CC4-5D6E-409C-BE32-E72D297353CC}">
              <c16:uniqueId val="{00000000-5E3E-499E-9416-448C5149529B}"/>
            </c:ext>
          </c:extLst>
        </c:ser>
        <c:ser>
          <c:idx val="1"/>
          <c:order val="1"/>
          <c:tx>
            <c:strRef>
              <c:f>A!$C$16:$C$17</c:f>
              <c:strCache>
                <c:ptCount val="1"/>
                <c:pt idx="0">
                  <c:v>HR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A!$A$18:$A$24</c:f>
              <c:strCache>
                <c:ptCount val="6"/>
                <c:pt idx="0">
                  <c:v>Better Opportunity</c:v>
                </c:pt>
                <c:pt idx="1">
                  <c:v>Company Restructuring</c:v>
                </c:pt>
                <c:pt idx="2">
                  <c:v>Higher Education</c:v>
                </c:pt>
                <c:pt idx="3">
                  <c:v>Personal Reasons</c:v>
                </c:pt>
                <c:pt idx="4">
                  <c:v>Relocation</c:v>
                </c:pt>
                <c:pt idx="5">
                  <c:v>Retirement</c:v>
                </c:pt>
              </c:strCache>
            </c:strRef>
          </c:cat>
          <c:val>
            <c:numRef>
              <c:f>A!$C$18:$C$24</c:f>
              <c:numCache>
                <c:formatCode>General</c:formatCode>
                <c:ptCount val="6"/>
                <c:pt idx="3">
                  <c:v>1</c:v>
                </c:pt>
              </c:numCache>
            </c:numRef>
          </c:val>
          <c:extLst>
            <c:ext xmlns:c16="http://schemas.microsoft.com/office/drawing/2014/chart" uri="{C3380CC4-5D6E-409C-BE32-E72D297353CC}">
              <c16:uniqueId val="{0000000B-5E3E-499E-9416-448C5149529B}"/>
            </c:ext>
          </c:extLst>
        </c:ser>
        <c:ser>
          <c:idx val="2"/>
          <c:order val="2"/>
          <c:tx>
            <c:strRef>
              <c:f>A!$D$16:$D$17</c:f>
              <c:strCache>
                <c:ptCount val="1"/>
                <c:pt idx="0">
                  <c:v>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A!$A$18:$A$24</c:f>
              <c:strCache>
                <c:ptCount val="6"/>
                <c:pt idx="0">
                  <c:v>Better Opportunity</c:v>
                </c:pt>
                <c:pt idx="1">
                  <c:v>Company Restructuring</c:v>
                </c:pt>
                <c:pt idx="2">
                  <c:v>Higher Education</c:v>
                </c:pt>
                <c:pt idx="3">
                  <c:v>Personal Reasons</c:v>
                </c:pt>
                <c:pt idx="4">
                  <c:v>Relocation</c:v>
                </c:pt>
                <c:pt idx="5">
                  <c:v>Retirement</c:v>
                </c:pt>
              </c:strCache>
            </c:strRef>
          </c:cat>
          <c:val>
            <c:numRef>
              <c:f>A!$D$18:$D$24</c:f>
              <c:numCache>
                <c:formatCode>General</c:formatCode>
                <c:ptCount val="6"/>
                <c:pt idx="0">
                  <c:v>1</c:v>
                </c:pt>
                <c:pt idx="5">
                  <c:v>1</c:v>
                </c:pt>
              </c:numCache>
            </c:numRef>
          </c:val>
          <c:extLst>
            <c:ext xmlns:c16="http://schemas.microsoft.com/office/drawing/2014/chart" uri="{C3380CC4-5D6E-409C-BE32-E72D297353CC}">
              <c16:uniqueId val="{0000000C-5E3E-499E-9416-448C5149529B}"/>
            </c:ext>
          </c:extLst>
        </c:ser>
        <c:ser>
          <c:idx val="3"/>
          <c:order val="3"/>
          <c:tx>
            <c:strRef>
              <c:f>A!$E$16:$E$17</c:f>
              <c:strCache>
                <c:ptCount val="1"/>
                <c:pt idx="0">
                  <c:v>Marketing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A!$A$18:$A$24</c:f>
              <c:strCache>
                <c:ptCount val="6"/>
                <c:pt idx="0">
                  <c:v>Better Opportunity</c:v>
                </c:pt>
                <c:pt idx="1">
                  <c:v>Company Restructuring</c:v>
                </c:pt>
                <c:pt idx="2">
                  <c:v>Higher Education</c:v>
                </c:pt>
                <c:pt idx="3">
                  <c:v>Personal Reasons</c:v>
                </c:pt>
                <c:pt idx="4">
                  <c:v>Relocation</c:v>
                </c:pt>
                <c:pt idx="5">
                  <c:v>Retirement</c:v>
                </c:pt>
              </c:strCache>
            </c:strRef>
          </c:cat>
          <c:val>
            <c:numRef>
              <c:f>A!$E$18:$E$24</c:f>
              <c:numCache>
                <c:formatCode>General</c:formatCode>
                <c:ptCount val="6"/>
                <c:pt idx="0">
                  <c:v>1</c:v>
                </c:pt>
                <c:pt idx="1">
                  <c:v>2</c:v>
                </c:pt>
                <c:pt idx="4">
                  <c:v>1</c:v>
                </c:pt>
              </c:numCache>
            </c:numRef>
          </c:val>
          <c:extLst>
            <c:ext xmlns:c16="http://schemas.microsoft.com/office/drawing/2014/chart" uri="{C3380CC4-5D6E-409C-BE32-E72D297353CC}">
              <c16:uniqueId val="{0000000D-5E3E-499E-9416-448C5149529B}"/>
            </c:ext>
          </c:extLst>
        </c:ser>
        <c:ser>
          <c:idx val="4"/>
          <c:order val="4"/>
          <c:tx>
            <c:strRef>
              <c:f>A!$F$16:$F$17</c:f>
              <c:strCache>
                <c:ptCount val="1"/>
                <c:pt idx="0">
                  <c:v>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A!$A$18:$A$24</c:f>
              <c:strCache>
                <c:ptCount val="6"/>
                <c:pt idx="0">
                  <c:v>Better Opportunity</c:v>
                </c:pt>
                <c:pt idx="1">
                  <c:v>Company Restructuring</c:v>
                </c:pt>
                <c:pt idx="2">
                  <c:v>Higher Education</c:v>
                </c:pt>
                <c:pt idx="3">
                  <c:v>Personal Reasons</c:v>
                </c:pt>
                <c:pt idx="4">
                  <c:v>Relocation</c:v>
                </c:pt>
                <c:pt idx="5">
                  <c:v>Retirement</c:v>
                </c:pt>
              </c:strCache>
            </c:strRef>
          </c:cat>
          <c:val>
            <c:numRef>
              <c:f>A!$F$18:$F$24</c:f>
              <c:numCache>
                <c:formatCode>General</c:formatCode>
                <c:ptCount val="6"/>
                <c:pt idx="2">
                  <c:v>1</c:v>
                </c:pt>
              </c:numCache>
            </c:numRef>
          </c:val>
          <c:extLst>
            <c:ext xmlns:c16="http://schemas.microsoft.com/office/drawing/2014/chart" uri="{C3380CC4-5D6E-409C-BE32-E72D297353CC}">
              <c16:uniqueId val="{0000000E-5E3E-499E-9416-448C514952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excel.xlsx]B!PivotTable4</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 equity/parity issues </a:t>
            </a:r>
            <a:r>
              <a:rPr lang="en-US" sz="1400" b="0" i="0" u="none" strike="noStrike" baseline="0"/>
              <a:t>by location,dept &amp;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B!$B$1</c:f>
              <c:strCache>
                <c:ptCount val="1"/>
                <c:pt idx="0">
                  <c:v>Total</c:v>
                </c:pt>
              </c:strCache>
            </c:strRef>
          </c:tx>
          <c:spPr>
            <a:solidFill>
              <a:schemeClr val="accent1"/>
            </a:solidFill>
            <a:ln>
              <a:noFill/>
            </a:ln>
            <a:effectLst/>
          </c:spPr>
          <c:invertIfNegative val="0"/>
          <c:cat>
            <c:multiLvlStrRef>
              <c:f>B!$A$2:$A$47</c:f>
              <c:multiLvlStrCache>
                <c:ptCount val="23"/>
                <c:lvl>
                  <c:pt idx="0">
                    <c:v>AVP</c:v>
                  </c:pt>
                  <c:pt idx="1">
                    <c:v>AVP</c:v>
                  </c:pt>
                  <c:pt idx="2">
                    <c:v>Executive</c:v>
                  </c:pt>
                  <c:pt idx="3">
                    <c:v>Executive</c:v>
                  </c:pt>
                  <c:pt idx="4">
                    <c:v>DM</c:v>
                  </c:pt>
                  <c:pt idx="5">
                    <c:v>Manager</c:v>
                  </c:pt>
                  <c:pt idx="6">
                    <c:v>DVP</c:v>
                  </c:pt>
                  <c:pt idx="7">
                    <c:v>Executive</c:v>
                  </c:pt>
                  <c:pt idx="8">
                    <c:v>DVP</c:v>
                  </c:pt>
                  <c:pt idx="9">
                    <c:v>AVP</c:v>
                  </c:pt>
                  <c:pt idx="10">
                    <c:v>DVP</c:v>
                  </c:pt>
                  <c:pt idx="11">
                    <c:v>DM</c:v>
                  </c:pt>
                  <c:pt idx="12">
                    <c:v>DM</c:v>
                  </c:pt>
                  <c:pt idx="13">
                    <c:v>DVP</c:v>
                  </c:pt>
                  <c:pt idx="14">
                    <c:v>Executive</c:v>
                  </c:pt>
                  <c:pt idx="15">
                    <c:v>VP</c:v>
                  </c:pt>
                  <c:pt idx="16">
                    <c:v>Executive</c:v>
                  </c:pt>
                  <c:pt idx="17">
                    <c:v>AVP</c:v>
                  </c:pt>
                  <c:pt idx="18">
                    <c:v>VP</c:v>
                  </c:pt>
                  <c:pt idx="19">
                    <c:v>DM</c:v>
                  </c:pt>
                  <c:pt idx="20">
                    <c:v>VP</c:v>
                  </c:pt>
                  <c:pt idx="21">
                    <c:v>Manager</c:v>
                  </c:pt>
                  <c:pt idx="22">
                    <c:v>AVP</c:v>
                  </c:pt>
                </c:lvl>
                <c:lvl>
                  <c:pt idx="0">
                    <c:v>IT</c:v>
                  </c:pt>
                  <c:pt idx="1">
                    <c:v>Marketing</c:v>
                  </c:pt>
                  <c:pt idx="3">
                    <c:v>Sales</c:v>
                  </c:pt>
                  <c:pt idx="4">
                    <c:v>Finance</c:v>
                  </c:pt>
                  <c:pt idx="5">
                    <c:v>HR</c:v>
                  </c:pt>
                  <c:pt idx="6">
                    <c:v>Marketing</c:v>
                  </c:pt>
                  <c:pt idx="7">
                    <c:v>Sales</c:v>
                  </c:pt>
                  <c:pt idx="8">
                    <c:v>Finance</c:v>
                  </c:pt>
                  <c:pt idx="9">
                    <c:v>HR</c:v>
                  </c:pt>
                  <c:pt idx="11">
                    <c:v>Marketing</c:v>
                  </c:pt>
                  <c:pt idx="12">
                    <c:v>Sales</c:v>
                  </c:pt>
                  <c:pt idx="13">
                    <c:v>Finance</c:v>
                  </c:pt>
                  <c:pt idx="16">
                    <c:v>HR</c:v>
                  </c:pt>
                  <c:pt idx="17">
                    <c:v>Sales</c:v>
                  </c:pt>
                  <c:pt idx="19">
                    <c:v>IT</c:v>
                  </c:pt>
                  <c:pt idx="21">
                    <c:v>Marketing</c:v>
                  </c:pt>
                  <c:pt idx="22">
                    <c:v>Sales</c:v>
                  </c:pt>
                </c:lvl>
                <c:lvl>
                  <c:pt idx="0">
                    <c:v>Bangalore</c:v>
                  </c:pt>
                  <c:pt idx="4">
                    <c:v>Dubai</c:v>
                  </c:pt>
                  <c:pt idx="8">
                    <c:v>Mumbai</c:v>
                  </c:pt>
                  <c:pt idx="13">
                    <c:v>Saket</c:v>
                  </c:pt>
                  <c:pt idx="19">
                    <c:v>Singapore</c:v>
                  </c:pt>
                </c:lvl>
              </c:multiLvlStrCache>
            </c:multiLvlStrRef>
          </c:cat>
          <c:val>
            <c:numRef>
              <c:f>B!$B$2:$B$47</c:f>
              <c:numCache>
                <c:formatCode>#,##0</c:formatCode>
                <c:ptCount val="23"/>
                <c:pt idx="0">
                  <c:v>1725000</c:v>
                </c:pt>
                <c:pt idx="1">
                  <c:v>1850000</c:v>
                </c:pt>
                <c:pt idx="2">
                  <c:v>800000</c:v>
                </c:pt>
                <c:pt idx="3">
                  <c:v>850000</c:v>
                </c:pt>
                <c:pt idx="4">
                  <c:v>1000000</c:v>
                </c:pt>
                <c:pt idx="5">
                  <c:v>1100000</c:v>
                </c:pt>
                <c:pt idx="6">
                  <c:v>1600000</c:v>
                </c:pt>
                <c:pt idx="7">
                  <c:v>800000</c:v>
                </c:pt>
                <c:pt idx="8">
                  <c:v>1900000</c:v>
                </c:pt>
                <c:pt idx="9">
                  <c:v>1500000</c:v>
                </c:pt>
                <c:pt idx="10">
                  <c:v>1400000</c:v>
                </c:pt>
                <c:pt idx="11">
                  <c:v>1050000</c:v>
                </c:pt>
                <c:pt idx="12">
                  <c:v>1050000</c:v>
                </c:pt>
                <c:pt idx="13">
                  <c:v>1800000</c:v>
                </c:pt>
                <c:pt idx="14">
                  <c:v>700000</c:v>
                </c:pt>
                <c:pt idx="15">
                  <c:v>2300000</c:v>
                </c:pt>
                <c:pt idx="16">
                  <c:v>780000</c:v>
                </c:pt>
                <c:pt idx="17">
                  <c:v>1650000</c:v>
                </c:pt>
                <c:pt idx="18">
                  <c:v>2200000</c:v>
                </c:pt>
                <c:pt idx="19">
                  <c:v>1000000</c:v>
                </c:pt>
                <c:pt idx="20">
                  <c:v>2500000</c:v>
                </c:pt>
                <c:pt idx="21">
                  <c:v>1100000</c:v>
                </c:pt>
                <c:pt idx="22">
                  <c:v>1600000</c:v>
                </c:pt>
              </c:numCache>
            </c:numRef>
          </c:val>
          <c:extLst>
            <c:ext xmlns:c16="http://schemas.microsoft.com/office/drawing/2014/chart" uri="{C3380CC4-5D6E-409C-BE32-E72D297353CC}">
              <c16:uniqueId val="{00000000-4F55-4838-B4E6-8B9736EE30C9}"/>
            </c:ext>
          </c:extLst>
        </c:ser>
        <c:dLbls>
          <c:showLegendKey val="0"/>
          <c:showVal val="0"/>
          <c:showCatName val="0"/>
          <c:showSerName val="0"/>
          <c:showPercent val="0"/>
          <c:showBubbleSize val="0"/>
        </c:dLbls>
        <c:gapWidth val="150"/>
        <c:axId val="803008496"/>
        <c:axId val="803010896"/>
      </c:barChart>
      <c:catAx>
        <c:axId val="80300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10896"/>
        <c:crosses val="autoZero"/>
        <c:auto val="1"/>
        <c:lblAlgn val="ctr"/>
        <c:lblOffset val="100"/>
        <c:noMultiLvlLbl val="0"/>
      </c:catAx>
      <c:valAx>
        <c:axId val="803010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0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excel.xlsx]B!PivotTable6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 equity/parity</a:t>
            </a:r>
            <a:r>
              <a:rPr lang="en-US" baseline="0"/>
              <a:t> issue by location,dept &amp;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B!$D$1</c:f>
              <c:strCache>
                <c:ptCount val="1"/>
                <c:pt idx="0">
                  <c:v>Total</c:v>
                </c:pt>
              </c:strCache>
            </c:strRef>
          </c:tx>
          <c:spPr>
            <a:solidFill>
              <a:schemeClr val="accent1"/>
            </a:solidFill>
            <a:ln>
              <a:noFill/>
            </a:ln>
            <a:effectLst/>
          </c:spPr>
          <c:invertIfNegative val="0"/>
          <c:cat>
            <c:multiLvlStrRef>
              <c:f>B!$C$2:$C$47</c:f>
              <c:multiLvlStrCache>
                <c:ptCount val="23"/>
                <c:lvl>
                  <c:pt idx="0">
                    <c:v>AVP</c:v>
                  </c:pt>
                  <c:pt idx="1">
                    <c:v>AVP</c:v>
                  </c:pt>
                  <c:pt idx="2">
                    <c:v>Executive</c:v>
                  </c:pt>
                  <c:pt idx="3">
                    <c:v>Executive</c:v>
                  </c:pt>
                  <c:pt idx="4">
                    <c:v>DM</c:v>
                  </c:pt>
                  <c:pt idx="5">
                    <c:v>Manager</c:v>
                  </c:pt>
                  <c:pt idx="6">
                    <c:v>DVP</c:v>
                  </c:pt>
                  <c:pt idx="7">
                    <c:v>Executive</c:v>
                  </c:pt>
                  <c:pt idx="8">
                    <c:v>DVP</c:v>
                  </c:pt>
                  <c:pt idx="9">
                    <c:v>AVP</c:v>
                  </c:pt>
                  <c:pt idx="10">
                    <c:v>DVP</c:v>
                  </c:pt>
                  <c:pt idx="11">
                    <c:v>DM</c:v>
                  </c:pt>
                  <c:pt idx="12">
                    <c:v>DM</c:v>
                  </c:pt>
                  <c:pt idx="13">
                    <c:v>DVP</c:v>
                  </c:pt>
                  <c:pt idx="14">
                    <c:v>Executive</c:v>
                  </c:pt>
                  <c:pt idx="15">
                    <c:v>VP</c:v>
                  </c:pt>
                  <c:pt idx="16">
                    <c:v>Executive</c:v>
                  </c:pt>
                  <c:pt idx="17">
                    <c:v>AVP</c:v>
                  </c:pt>
                  <c:pt idx="18">
                    <c:v>VP</c:v>
                  </c:pt>
                  <c:pt idx="19">
                    <c:v>DM</c:v>
                  </c:pt>
                  <c:pt idx="20">
                    <c:v>VP</c:v>
                  </c:pt>
                  <c:pt idx="21">
                    <c:v>Manager</c:v>
                  </c:pt>
                  <c:pt idx="22">
                    <c:v>AVP</c:v>
                  </c:pt>
                </c:lvl>
                <c:lvl>
                  <c:pt idx="0">
                    <c:v>IT</c:v>
                  </c:pt>
                  <c:pt idx="1">
                    <c:v>Marketing</c:v>
                  </c:pt>
                  <c:pt idx="3">
                    <c:v>Sales</c:v>
                  </c:pt>
                  <c:pt idx="4">
                    <c:v>Finance</c:v>
                  </c:pt>
                  <c:pt idx="5">
                    <c:v>HR</c:v>
                  </c:pt>
                  <c:pt idx="6">
                    <c:v>Marketing</c:v>
                  </c:pt>
                  <c:pt idx="7">
                    <c:v>Sales</c:v>
                  </c:pt>
                  <c:pt idx="8">
                    <c:v>Finance</c:v>
                  </c:pt>
                  <c:pt idx="9">
                    <c:v>HR</c:v>
                  </c:pt>
                  <c:pt idx="11">
                    <c:v>Marketing</c:v>
                  </c:pt>
                  <c:pt idx="12">
                    <c:v>Sales</c:v>
                  </c:pt>
                  <c:pt idx="13">
                    <c:v>Finance</c:v>
                  </c:pt>
                  <c:pt idx="16">
                    <c:v>HR</c:v>
                  </c:pt>
                  <c:pt idx="17">
                    <c:v>Sales</c:v>
                  </c:pt>
                  <c:pt idx="19">
                    <c:v>IT</c:v>
                  </c:pt>
                  <c:pt idx="21">
                    <c:v>Marketing</c:v>
                  </c:pt>
                  <c:pt idx="22">
                    <c:v>Sales</c:v>
                  </c:pt>
                </c:lvl>
                <c:lvl>
                  <c:pt idx="0">
                    <c:v>Bangalore</c:v>
                  </c:pt>
                  <c:pt idx="4">
                    <c:v>Dubai</c:v>
                  </c:pt>
                  <c:pt idx="8">
                    <c:v>Mumbai</c:v>
                  </c:pt>
                  <c:pt idx="13">
                    <c:v>Saket</c:v>
                  </c:pt>
                  <c:pt idx="19">
                    <c:v>Singapore</c:v>
                  </c:pt>
                </c:lvl>
              </c:multiLvlStrCache>
            </c:multiLvlStrRef>
          </c:cat>
          <c:val>
            <c:numRef>
              <c:f>B!$D$2:$D$47</c:f>
              <c:numCache>
                <c:formatCode>#,##0</c:formatCode>
                <c:ptCount val="23"/>
                <c:pt idx="0">
                  <c:v>187500</c:v>
                </c:pt>
                <c:pt idx="1">
                  <c:v>215000</c:v>
                </c:pt>
                <c:pt idx="2">
                  <c:v>60000</c:v>
                </c:pt>
                <c:pt idx="3">
                  <c:v>70000</c:v>
                </c:pt>
                <c:pt idx="4">
                  <c:v>90000</c:v>
                </c:pt>
                <c:pt idx="5">
                  <c:v>110000</c:v>
                </c:pt>
                <c:pt idx="6">
                  <c:v>210000</c:v>
                </c:pt>
                <c:pt idx="7">
                  <c:v>60000</c:v>
                </c:pt>
                <c:pt idx="8">
                  <c:v>200000</c:v>
                </c:pt>
                <c:pt idx="9">
                  <c:v>160000</c:v>
                </c:pt>
                <c:pt idx="10">
                  <c:v>140000</c:v>
                </c:pt>
                <c:pt idx="11">
                  <c:v>100000</c:v>
                </c:pt>
                <c:pt idx="12">
                  <c:v>100000</c:v>
                </c:pt>
                <c:pt idx="13">
                  <c:v>210000</c:v>
                </c:pt>
                <c:pt idx="14">
                  <c:v>50000</c:v>
                </c:pt>
                <c:pt idx="15">
                  <c:v>350000</c:v>
                </c:pt>
                <c:pt idx="16">
                  <c:v>55000</c:v>
                </c:pt>
                <c:pt idx="17">
                  <c:v>180000</c:v>
                </c:pt>
                <c:pt idx="18">
                  <c:v>320000</c:v>
                </c:pt>
                <c:pt idx="19">
                  <c:v>90000</c:v>
                </c:pt>
                <c:pt idx="20">
                  <c:v>400000</c:v>
                </c:pt>
                <c:pt idx="21">
                  <c:v>110000</c:v>
                </c:pt>
                <c:pt idx="22">
                  <c:v>175000</c:v>
                </c:pt>
              </c:numCache>
            </c:numRef>
          </c:val>
          <c:extLst>
            <c:ext xmlns:c16="http://schemas.microsoft.com/office/drawing/2014/chart" uri="{C3380CC4-5D6E-409C-BE32-E72D297353CC}">
              <c16:uniqueId val="{00000000-96E2-490E-AFF5-E0BC2EE3A610}"/>
            </c:ext>
          </c:extLst>
        </c:ser>
        <c:dLbls>
          <c:showLegendKey val="0"/>
          <c:showVal val="0"/>
          <c:showCatName val="0"/>
          <c:showSerName val="0"/>
          <c:showPercent val="0"/>
          <c:showBubbleSize val="0"/>
        </c:dLbls>
        <c:gapWidth val="219"/>
        <c:overlap val="-27"/>
        <c:axId val="803043536"/>
        <c:axId val="803045936"/>
      </c:barChart>
      <c:catAx>
        <c:axId val="80304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45936"/>
        <c:crosses val="autoZero"/>
        <c:auto val="1"/>
        <c:lblAlgn val="ctr"/>
        <c:lblOffset val="100"/>
        <c:noMultiLvlLbl val="0"/>
      </c:catAx>
      <c:valAx>
        <c:axId val="80304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4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data id="1">
      <cx:strDim type="cat">
        <cx:f>_xlchart.v1.5</cx:f>
      </cx:strDim>
      <cx:numDim type="val">
        <cx:f>_xlchart.v1.9</cx:f>
      </cx:numDim>
    </cx:data>
  </cx:chartData>
  <cx:chart>
    <cx:title pos="t" align="ctr" overlay="0"/>
    <cx:plotArea>
      <cx:plotAreaRegion>
        <cx:series layoutId="boxWhisker" uniqueId="{58E30956-8BEA-468E-85D6-416072D34348}">
          <cx:tx>
            <cx:txData>
              <cx:f>_xlchart.v1.6</cx:f>
              <cx:v>Salary (INR)</cx:v>
            </cx:txData>
          </cx:tx>
          <cx:dataId val="0"/>
          <cx:layoutPr>
            <cx:visibility meanLine="0" meanMarker="1" nonoutliers="0" outliers="1"/>
            <cx:statistics quartileMethod="exclusive"/>
          </cx:layoutPr>
        </cx:series>
        <cx:series layoutId="boxWhisker" uniqueId="{F80B5E95-1E8E-48CD-BA0B-16EEC6F27F7C}">
          <cx:tx>
            <cx:txData>
              <cx:f>_xlchart.v1.8</cx:f>
              <cx:v>Bonus (INR)</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0</xdr:row>
      <xdr:rowOff>160021</xdr:rowOff>
    </xdr:from>
    <xdr:to>
      <xdr:col>1</xdr:col>
      <xdr:colOff>518160</xdr:colOff>
      <xdr:row>10</xdr:row>
      <xdr:rowOff>160021</xdr:rowOff>
    </xdr:to>
    <mc:AlternateContent xmlns:mc="http://schemas.openxmlformats.org/markup-compatibility/2006">
      <mc:Choice xmlns:a14="http://schemas.microsoft.com/office/drawing/2010/main" Requires="a14">
        <xdr:graphicFrame macro="">
          <xdr:nvGraphicFramePr>
            <xdr:cNvPr id="4" name="Dept">
              <a:extLst>
                <a:ext uri="{FF2B5EF4-FFF2-40B4-BE49-F238E27FC236}">
                  <a16:creationId xmlns:a16="http://schemas.microsoft.com/office/drawing/2014/main" id="{C70307B0-AB35-B08E-B931-1E25CE85C047}"/>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53340" y="160021"/>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571500</xdr:colOff>
      <xdr:row>0</xdr:row>
      <xdr:rowOff>137161</xdr:rowOff>
    </xdr:from>
    <xdr:to>
      <xdr:col>5</xdr:col>
      <xdr:colOff>297180</xdr:colOff>
      <xdr:row>10</xdr:row>
      <xdr:rowOff>106680</xdr:rowOff>
    </xdr:to>
    <mc:AlternateContent xmlns:mc="http://schemas.openxmlformats.org/markup-compatibility/2006">
      <mc:Choice xmlns:a14="http://schemas.microsoft.com/office/drawing/2010/main" Requires="a14">
        <xdr:graphicFrame macro="">
          <xdr:nvGraphicFramePr>
            <xdr:cNvPr id="5" name="Location">
              <a:extLst>
                <a:ext uri="{FF2B5EF4-FFF2-40B4-BE49-F238E27FC236}">
                  <a16:creationId xmlns:a16="http://schemas.microsoft.com/office/drawing/2014/main" id="{6433CCFE-E7C8-0017-9659-16192FE29B4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935480" y="137161"/>
              <a:ext cx="1828800" cy="1798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365760</xdr:colOff>
      <xdr:row>0</xdr:row>
      <xdr:rowOff>152401</xdr:rowOff>
    </xdr:from>
    <xdr:to>
      <xdr:col>9</xdr:col>
      <xdr:colOff>76200</xdr:colOff>
      <xdr:row>13</xdr:row>
      <xdr:rowOff>76201</xdr:rowOff>
    </xdr:to>
    <mc:AlternateContent xmlns:mc="http://schemas.openxmlformats.org/markup-compatibility/2006">
      <mc:Choice xmlns:a14="http://schemas.microsoft.com/office/drawing/2010/main" Requires="a14">
        <xdr:graphicFrame macro="">
          <xdr:nvGraphicFramePr>
            <xdr:cNvPr id="6" name="Exit Reason">
              <a:extLst>
                <a:ext uri="{FF2B5EF4-FFF2-40B4-BE49-F238E27FC236}">
                  <a16:creationId xmlns:a16="http://schemas.microsoft.com/office/drawing/2014/main" id="{24C2BD4F-FB5B-CE65-804D-FC69C2E6E647}"/>
                </a:ext>
              </a:extLst>
            </xdr:cNvPr>
            <xdr:cNvGraphicFramePr/>
          </xdr:nvGraphicFramePr>
          <xdr:xfrm>
            <a:off x="0" y="0"/>
            <a:ext cx="0" cy="0"/>
          </xdr:xfrm>
          <a:graphic>
            <a:graphicData uri="http://schemas.microsoft.com/office/drawing/2010/slicer">
              <sle:slicer xmlns:sle="http://schemas.microsoft.com/office/drawing/2010/slicer" name="Exit Reason"/>
            </a:graphicData>
          </a:graphic>
        </xdr:graphicFrame>
      </mc:Choice>
      <mc:Fallback>
        <xdr:sp macro="" textlink="">
          <xdr:nvSpPr>
            <xdr:cNvPr id="0" name=""/>
            <xdr:cNvSpPr>
              <a:spLocks noTextEdit="1"/>
            </xdr:cNvSpPr>
          </xdr:nvSpPr>
          <xdr:spPr>
            <a:xfrm>
              <a:off x="3832860" y="152401"/>
              <a:ext cx="1828800" cy="230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0</xdr:row>
      <xdr:rowOff>152401</xdr:rowOff>
    </xdr:from>
    <xdr:to>
      <xdr:col>12</xdr:col>
      <xdr:colOff>571500</xdr:colOff>
      <xdr:row>6</xdr:row>
      <xdr:rowOff>99061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A53B07C9-23A2-CEB8-31E3-DBA785A163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74280" y="15240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121920</xdr:colOff>
      <xdr:row>0</xdr:row>
      <xdr:rowOff>137161</xdr:rowOff>
    </xdr:from>
    <xdr:to>
      <xdr:col>11</xdr:col>
      <xdr:colOff>175260</xdr:colOff>
      <xdr:row>12</xdr:row>
      <xdr:rowOff>38101</xdr:rowOff>
    </xdr:to>
    <mc:AlternateContent xmlns:mc="http://schemas.openxmlformats.org/markup-compatibility/2006">
      <mc:Choice xmlns:a14="http://schemas.microsoft.com/office/drawing/2010/main" Requires="a14">
        <xdr:graphicFrame macro="">
          <xdr:nvGraphicFramePr>
            <xdr:cNvPr id="11" name="Job Level">
              <a:extLst>
                <a:ext uri="{FF2B5EF4-FFF2-40B4-BE49-F238E27FC236}">
                  <a16:creationId xmlns:a16="http://schemas.microsoft.com/office/drawing/2014/main" id="{48656406-7BD4-3B16-2B3B-1583820E11DD}"/>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dr:sp macro="" textlink="">
          <xdr:nvSpPr>
            <xdr:cNvPr id="0" name=""/>
            <xdr:cNvSpPr>
              <a:spLocks noTextEdit="1"/>
            </xdr:cNvSpPr>
          </xdr:nvSpPr>
          <xdr:spPr>
            <a:xfrm>
              <a:off x="5707380" y="13716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114300</xdr:colOff>
      <xdr:row>13</xdr:row>
      <xdr:rowOff>121920</xdr:rowOff>
    </xdr:from>
    <xdr:to>
      <xdr:col>12</xdr:col>
      <xdr:colOff>426720</xdr:colOff>
      <xdr:row>28</xdr:row>
      <xdr:rowOff>121920</xdr:rowOff>
    </xdr:to>
    <xdr:graphicFrame macro="">
      <xdr:nvGraphicFramePr>
        <xdr:cNvPr id="13" name="Chart 12">
          <a:extLst>
            <a:ext uri="{FF2B5EF4-FFF2-40B4-BE49-F238E27FC236}">
              <a16:creationId xmlns:a16="http://schemas.microsoft.com/office/drawing/2014/main" id="{108D3690-C05D-0733-827C-7AF579528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304800</xdr:colOff>
      <xdr:row>5</xdr:row>
      <xdr:rowOff>45722</xdr:rowOff>
    </xdr:from>
    <xdr:to>
      <xdr:col>13</xdr:col>
      <xdr:colOff>251460</xdr:colOff>
      <xdr:row>15</xdr:row>
      <xdr:rowOff>7620</xdr:rowOff>
    </xdr:to>
    <mc:AlternateContent xmlns:mc="http://schemas.openxmlformats.org/markup-compatibility/2006">
      <mc:Choice xmlns:a14="http://schemas.microsoft.com/office/drawing/2010/main" Requires="a14">
        <xdr:graphicFrame macro="">
          <xdr:nvGraphicFramePr>
            <xdr:cNvPr id="3" name="Dept 1">
              <a:extLst>
                <a:ext uri="{FF2B5EF4-FFF2-40B4-BE49-F238E27FC236}">
                  <a16:creationId xmlns:a16="http://schemas.microsoft.com/office/drawing/2014/main" id="{7EE9E4A8-CCCA-110A-30EF-1CA0448AD640}"/>
                </a:ext>
              </a:extLst>
            </xdr:cNvPr>
            <xdr:cNvGraphicFramePr/>
          </xdr:nvGraphicFramePr>
          <xdr:xfrm>
            <a:off x="0" y="0"/>
            <a:ext cx="0" cy="0"/>
          </xdr:xfrm>
          <a:graphic>
            <a:graphicData uri="http://schemas.microsoft.com/office/drawing/2010/slicer">
              <sle:slicer xmlns:sle="http://schemas.microsoft.com/office/drawing/2010/slicer" name="Dept 1"/>
            </a:graphicData>
          </a:graphic>
        </xdr:graphicFrame>
      </mc:Choice>
      <mc:Fallback>
        <xdr:sp macro="" textlink="">
          <xdr:nvSpPr>
            <xdr:cNvPr id="0" name=""/>
            <xdr:cNvSpPr>
              <a:spLocks noTextEdit="1"/>
            </xdr:cNvSpPr>
          </xdr:nvSpPr>
          <xdr:spPr>
            <a:xfrm>
              <a:off x="10533681" y="1130603"/>
              <a:ext cx="1612728" cy="1770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320040</xdr:colOff>
      <xdr:row>0</xdr:row>
      <xdr:rowOff>106680</xdr:rowOff>
    </xdr:from>
    <xdr:to>
      <xdr:col>16</xdr:col>
      <xdr:colOff>22860</xdr:colOff>
      <xdr:row>9</xdr:row>
      <xdr:rowOff>129540</xdr:rowOff>
    </xdr:to>
    <mc:AlternateContent xmlns:mc="http://schemas.openxmlformats.org/markup-compatibility/2006">
      <mc:Choice xmlns:a14="http://schemas.microsoft.com/office/drawing/2010/main" Requires="a14">
        <xdr:graphicFrame macro="">
          <xdr:nvGraphicFramePr>
            <xdr:cNvPr id="4" name="Location 1">
              <a:extLst>
                <a:ext uri="{FF2B5EF4-FFF2-40B4-BE49-F238E27FC236}">
                  <a16:creationId xmlns:a16="http://schemas.microsoft.com/office/drawing/2014/main" id="{4F339BEB-35F8-F273-25BC-EB037E5DB14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2214989" y="106680"/>
              <a:ext cx="1833837" cy="1830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335280</xdr:colOff>
      <xdr:row>0</xdr:row>
      <xdr:rowOff>91440</xdr:rowOff>
    </xdr:from>
    <xdr:to>
      <xdr:col>13</xdr:col>
      <xdr:colOff>245390</xdr:colOff>
      <xdr:row>5</xdr:row>
      <xdr:rowOff>7620</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EE8FF2ED-6180-8228-E4FC-CBC5640D85A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564161" y="91440"/>
              <a:ext cx="1576178" cy="100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xdr:colOff>
      <xdr:row>0</xdr:row>
      <xdr:rowOff>83820</xdr:rowOff>
    </xdr:from>
    <xdr:to>
      <xdr:col>12</xdr:col>
      <xdr:colOff>251460</xdr:colOff>
      <xdr:row>10</xdr:row>
      <xdr:rowOff>152400</xdr:rowOff>
    </xdr:to>
    <mc:AlternateContent xmlns:mc="http://schemas.openxmlformats.org/markup-compatibility/2006">
      <mc:Choice xmlns:a14="http://schemas.microsoft.com/office/drawing/2010/main" Requires="a14">
        <xdr:graphicFrame macro="">
          <xdr:nvGraphicFramePr>
            <xdr:cNvPr id="6" name="Job Level 1">
              <a:extLst>
                <a:ext uri="{FF2B5EF4-FFF2-40B4-BE49-F238E27FC236}">
                  <a16:creationId xmlns:a16="http://schemas.microsoft.com/office/drawing/2014/main" id="{311FA941-8FDA-A734-E1E9-EB7A90845388}"/>
                </a:ext>
              </a:extLst>
            </xdr:cNvPr>
            <xdr:cNvGraphicFramePr/>
          </xdr:nvGraphicFramePr>
          <xdr:xfrm>
            <a:off x="0" y="0"/>
            <a:ext cx="0" cy="0"/>
          </xdr:xfrm>
          <a:graphic>
            <a:graphicData uri="http://schemas.microsoft.com/office/drawing/2010/slicer">
              <sle:slicer xmlns:sle="http://schemas.microsoft.com/office/drawing/2010/slicer" name="Job Level 1"/>
            </a:graphicData>
          </a:graphic>
        </xdr:graphicFrame>
      </mc:Choice>
      <mc:Fallback>
        <xdr:sp macro="" textlink="">
          <xdr:nvSpPr>
            <xdr:cNvPr id="0" name=""/>
            <xdr:cNvSpPr>
              <a:spLocks noTextEdit="1"/>
            </xdr:cNvSpPr>
          </xdr:nvSpPr>
          <xdr:spPr>
            <a:xfrm>
              <a:off x="8648958" y="83820"/>
              <a:ext cx="1831383" cy="2057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49530</xdr:colOff>
      <xdr:row>0</xdr:row>
      <xdr:rowOff>68580</xdr:rowOff>
    </xdr:from>
    <xdr:to>
      <xdr:col>10</xdr:col>
      <xdr:colOff>632460</xdr:colOff>
      <xdr:row>13</xdr:row>
      <xdr:rowOff>160020</xdr:rowOff>
    </xdr:to>
    <xdr:graphicFrame macro="">
      <xdr:nvGraphicFramePr>
        <xdr:cNvPr id="9" name="Chart 8">
          <a:extLst>
            <a:ext uri="{FF2B5EF4-FFF2-40B4-BE49-F238E27FC236}">
              <a16:creationId xmlns:a16="http://schemas.microsoft.com/office/drawing/2014/main" id="{330E62E1-651D-DBC7-D58B-BAE3E4EF9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14</xdr:row>
      <xdr:rowOff>60960</xdr:rowOff>
    </xdr:from>
    <xdr:to>
      <xdr:col>11</xdr:col>
      <xdr:colOff>22860</xdr:colOff>
      <xdr:row>31</xdr:row>
      <xdr:rowOff>60960</xdr:rowOff>
    </xdr:to>
    <xdr:graphicFrame macro="">
      <xdr:nvGraphicFramePr>
        <xdr:cNvPr id="10" name="Chart 9">
          <a:extLst>
            <a:ext uri="{FF2B5EF4-FFF2-40B4-BE49-F238E27FC236}">
              <a16:creationId xmlns:a16="http://schemas.microsoft.com/office/drawing/2014/main" id="{9034A073-AA9E-5482-84BC-24DB06D47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15</xdr:row>
      <xdr:rowOff>60960</xdr:rowOff>
    </xdr:from>
    <xdr:to>
      <xdr:col>13</xdr:col>
      <xdr:colOff>670560</xdr:colOff>
      <xdr:row>32</xdr:row>
      <xdr:rowOff>25831</xdr:rowOff>
    </xdr:to>
    <xdr:sp macro="" textlink="">
      <xdr:nvSpPr>
        <xdr:cNvPr id="11" name="TextBox 10">
          <a:extLst>
            <a:ext uri="{FF2B5EF4-FFF2-40B4-BE49-F238E27FC236}">
              <a16:creationId xmlns:a16="http://schemas.microsoft.com/office/drawing/2014/main" id="{63F1FDA3-1499-4C85-6A3D-C4DAA9C8D86E}"/>
            </a:ext>
          </a:extLst>
        </xdr:cNvPr>
        <xdr:cNvSpPr txBox="1"/>
      </xdr:nvSpPr>
      <xdr:spPr>
        <a:xfrm>
          <a:off x="8664198" y="2953977"/>
          <a:ext cx="3901311" cy="303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Pay Equity/Parity</a:t>
          </a:r>
          <a:r>
            <a:rPr lang="en-IN" sz="1100" b="1" baseline="0"/>
            <a:t> issues by avg Salary</a:t>
          </a:r>
          <a:endParaRPr lang="en-IN" sz="1100" b="0" baseline="0"/>
        </a:p>
        <a:p>
          <a:r>
            <a:rPr lang="en-IN" sz="1100" b="1"/>
            <a:t>1. </a:t>
          </a:r>
          <a:r>
            <a:rPr lang="en-IN" b="1"/>
            <a:t>IT and Sales departments receive the highest compensation</a:t>
          </a:r>
          <a:r>
            <a:rPr lang="en-IN"/>
            <a:t>, with average salaries up to </a:t>
          </a:r>
          <a:r>
            <a:rPr lang="en-IN" b="1"/>
            <a:t>₹17.25K in IT (Bangalore)</a:t>
          </a:r>
          <a:r>
            <a:rPr lang="en-IN"/>
            <a:t> and </a:t>
          </a:r>
          <a:r>
            <a:rPr lang="en-IN" b="1"/>
            <a:t>₹19.25K in Sales (Saket)</a:t>
          </a:r>
          <a:r>
            <a:rPr lang="en-IN"/>
            <a:t>, showing these roles have strong impact on technology support and revenue generation.</a:t>
          </a:r>
        </a:p>
        <a:p>
          <a:r>
            <a:rPr lang="en-IN" b="1"/>
            <a:t>2. Support functions like HR, Finance, and Marketing</a:t>
          </a:r>
          <a:r>
            <a:rPr lang="en-IN"/>
            <a:t> have lower average salaries ranging from </a:t>
          </a:r>
          <a:r>
            <a:rPr lang="en-IN" b="1"/>
            <a:t>₹10K to ₹15K</a:t>
          </a:r>
          <a:r>
            <a:rPr lang="en-IN"/>
            <a:t>, indicating controlled compensation while still playing an important role in employee management and business stability.</a:t>
          </a:r>
        </a:p>
        <a:p>
          <a:r>
            <a:rPr lang="en-IN" sz="1100" b="1"/>
            <a:t>• Pay Equity/Parity</a:t>
          </a:r>
          <a:r>
            <a:rPr lang="en-IN" sz="1100" b="1" baseline="0"/>
            <a:t> issues by avg bonus</a:t>
          </a:r>
        </a:p>
        <a:p>
          <a:r>
            <a:rPr lang="en-IN" sz="1100" b="1" baseline="0"/>
            <a:t>1. </a:t>
          </a:r>
          <a:r>
            <a:rPr lang="en-IN" b="1"/>
            <a:t>Average bonus payout is highest in Saket and Mumbai</a:t>
          </a:r>
          <a:r>
            <a:rPr lang="en-IN"/>
            <a:t>, with overall averages of </a:t>
          </a:r>
          <a:r>
            <a:rPr lang="en-IN" b="1"/>
            <a:t>₹1.74L and ₹1.40L</a:t>
          </a:r>
          <a:r>
            <a:rPr lang="en-IN"/>
            <a:t>, showing higher incentive compensation in these locations.</a:t>
          </a:r>
        </a:p>
        <a:p>
          <a:r>
            <a:rPr lang="en-IN" b="1"/>
            <a:t>2. Sales and IT roles receive the largest bonuses</a:t>
          </a:r>
          <a:r>
            <a:rPr lang="en-IN"/>
            <a:t>, reaching up to </a:t>
          </a:r>
          <a:r>
            <a:rPr lang="en-IN" b="1"/>
            <a:t>₹3.2L (Sales – Saket)</a:t>
          </a:r>
          <a:r>
            <a:rPr lang="en-IN"/>
            <a:t> and </a:t>
          </a:r>
          <a:r>
            <a:rPr lang="en-IN" b="1"/>
            <a:t>₹2.45L (IT – Singapore)</a:t>
          </a:r>
          <a:r>
            <a:rPr lang="en-IN"/>
            <a:t>, indicating strong performance-linked rewards.</a:t>
          </a:r>
        </a:p>
        <a:p>
          <a:endParaRPr lang="en-IN"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45720</xdr:rowOff>
    </xdr:from>
    <xdr:to>
      <xdr:col>10</xdr:col>
      <xdr:colOff>723900</xdr:colOff>
      <xdr:row>2</xdr:row>
      <xdr:rowOff>0</xdr:rowOff>
    </xdr:to>
    <xdr:sp macro="" textlink="">
      <xdr:nvSpPr>
        <xdr:cNvPr id="2" name="TextBox 1">
          <a:extLst>
            <a:ext uri="{FF2B5EF4-FFF2-40B4-BE49-F238E27FC236}">
              <a16:creationId xmlns:a16="http://schemas.microsoft.com/office/drawing/2014/main" id="{8EBAE919-390E-D35E-36FB-B313B50486AE}"/>
            </a:ext>
          </a:extLst>
        </xdr:cNvPr>
        <xdr:cNvSpPr txBox="1"/>
      </xdr:nvSpPr>
      <xdr:spPr>
        <a:xfrm>
          <a:off x="0" y="45720"/>
          <a:ext cx="835914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Highlight any outliers in compensation using conditional formatting &amp;</a:t>
          </a:r>
          <a:r>
            <a:rPr lang="en-IN" sz="1400" b="1" baseline="0"/>
            <a:t> C</a:t>
          </a:r>
          <a:r>
            <a:rPr lang="en-IN" sz="1400" b="1"/>
            <a:t>harts. </a:t>
          </a:r>
        </a:p>
      </xdr:txBody>
    </xdr:sp>
    <xdr:clientData/>
  </xdr:twoCellAnchor>
  <xdr:twoCellAnchor>
    <xdr:from>
      <xdr:col>4</xdr:col>
      <xdr:colOff>106680</xdr:colOff>
      <xdr:row>2</xdr:row>
      <xdr:rowOff>175260</xdr:rowOff>
    </xdr:from>
    <xdr:to>
      <xdr:col>9</xdr:col>
      <xdr:colOff>373380</xdr:colOff>
      <xdr:row>17</xdr:row>
      <xdr:rowOff>167640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F6A2A54-D021-7C79-4388-92D79FC642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52800" y="541020"/>
              <a:ext cx="3924300" cy="3002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487680</xdr:colOff>
      <xdr:row>2</xdr:row>
      <xdr:rowOff>167640</xdr:rowOff>
    </xdr:from>
    <xdr:to>
      <xdr:col>17</xdr:col>
      <xdr:colOff>723900</xdr:colOff>
      <xdr:row>12</xdr:row>
      <xdr:rowOff>76200</xdr:rowOff>
    </xdr:to>
    <xdr:sp macro="" textlink="">
      <xdr:nvSpPr>
        <xdr:cNvPr id="5" name="TextBox 4">
          <a:extLst>
            <a:ext uri="{FF2B5EF4-FFF2-40B4-BE49-F238E27FC236}">
              <a16:creationId xmlns:a16="http://schemas.microsoft.com/office/drawing/2014/main" id="{616C16F9-719E-C902-716B-B81C5AD1767F}"/>
            </a:ext>
          </a:extLst>
        </xdr:cNvPr>
        <xdr:cNvSpPr txBox="1"/>
      </xdr:nvSpPr>
      <xdr:spPr>
        <a:xfrm>
          <a:off x="7391400" y="533400"/>
          <a:ext cx="6088380" cy="1965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Here</a:t>
          </a:r>
          <a:r>
            <a:rPr lang="en-IN" b="1" baseline="0"/>
            <a:t> is the conditional formatting :</a:t>
          </a:r>
          <a:endParaRPr lang="en-IN" b="1"/>
        </a:p>
        <a:p>
          <a:r>
            <a:rPr lang="en-IN" b="1"/>
            <a:t>1. Conditional formatting on Salary and Bonus columns</a:t>
          </a:r>
          <a:r>
            <a:rPr lang="en-IN"/>
            <a:t> to highlight unusually high values (outliers) using a </a:t>
          </a:r>
          <a:r>
            <a:rPr lang="en-IN" b="1"/>
            <a:t>color (dark red)</a:t>
          </a:r>
          <a:r>
            <a:rPr lang="en-IN"/>
            <a:t>.</a:t>
          </a:r>
        </a:p>
        <a:p>
          <a:r>
            <a:rPr lang="en-IN"/>
            <a:t>2. Salaries above </a:t>
          </a:r>
          <a:r>
            <a:rPr lang="en-IN" b="1"/>
            <a:t>₹20,00,000</a:t>
          </a:r>
          <a:r>
            <a:rPr lang="en-IN"/>
            <a:t> (for example, </a:t>
          </a:r>
          <a:r>
            <a:rPr lang="en-IN" b="1"/>
            <a:t>₹22,00,000, ₹23,00,000, ₹25,00,000</a:t>
          </a:r>
          <a:r>
            <a:rPr lang="en-IN"/>
            <a:t>) are treated as </a:t>
          </a:r>
          <a:r>
            <a:rPr lang="en-IN" b="1"/>
            <a:t>salary outliers</a:t>
          </a:r>
          <a:r>
            <a:rPr lang="en-IN"/>
            <a:t>, showing top-paid roles.</a:t>
          </a:r>
        </a:p>
        <a:p>
          <a:r>
            <a:rPr lang="en-IN"/>
            <a:t>3. Bonus values above </a:t>
          </a:r>
          <a:r>
            <a:rPr lang="en-IN" b="1"/>
            <a:t>₹3,00,000</a:t>
          </a:r>
          <a:r>
            <a:rPr lang="en-IN"/>
            <a:t> (such as </a:t>
          </a:r>
          <a:r>
            <a:rPr lang="en-IN" b="1"/>
            <a:t>₹3,20,000, ₹3,50,000, ₹4,00,000</a:t>
          </a:r>
          <a:r>
            <a:rPr lang="en-IN"/>
            <a:t>) are marked as </a:t>
          </a:r>
          <a:r>
            <a:rPr lang="en-IN" b="1"/>
            <a:t>bonus outliers</a:t>
          </a:r>
          <a:r>
            <a:rPr lang="en-IN"/>
            <a:t>, indicating high performance incentives.</a:t>
          </a:r>
        </a:p>
        <a:p>
          <a:r>
            <a:rPr lang="en-IN"/>
            <a:t>4. This formatting helps </a:t>
          </a:r>
          <a:r>
            <a:rPr lang="en-IN" b="1"/>
            <a:t>quickly identify extreme compensation values</a:t>
          </a:r>
          <a:r>
            <a:rPr lang="en-IN"/>
            <a:t>, making analysis faster and improving decision-making on pay distribution.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ea" refreshedDate="46029.89652905093" createdVersion="8" refreshedVersion="8" minRefreshableVersion="3" recordCount="25" xr:uid="{D8D8602A-BF13-496B-B2A8-4926D7E5E803}">
  <cacheSource type="worksheet">
    <worksheetSource name="Table1"/>
  </cacheSource>
  <cacheFields count="18">
    <cacheField name="Emp ID" numFmtId="0">
      <sharedItems count="25">
        <s v="E001"/>
        <s v="E002"/>
        <s v="E003"/>
        <s v="E004"/>
        <s v="E005"/>
        <s v="E006"/>
        <s v="E007"/>
        <s v="E008"/>
        <s v="E009"/>
        <s v="E010"/>
        <s v="E011"/>
        <s v="E012"/>
        <s v="E013"/>
        <s v="E014"/>
        <s v="E015"/>
        <s v="E016"/>
        <s v="E017"/>
        <s v="E018"/>
        <s v="E019"/>
        <s v="E020"/>
        <s v="E021"/>
        <s v="E022"/>
        <s v="E023"/>
        <s v="E024"/>
        <s v="E025"/>
      </sharedItems>
    </cacheField>
    <cacheField name="Name" numFmtId="0">
      <sharedItems/>
    </cacheField>
    <cacheField name="Dept" numFmtId="0">
      <sharedItems count="5">
        <s v="Sales"/>
        <s v="Marketing"/>
        <s v="Finance"/>
        <s v="HR"/>
        <s v="IT"/>
      </sharedItems>
    </cacheField>
    <cacheField name="Location" numFmtId="0">
      <sharedItems count="5">
        <s v="Saket"/>
        <s v="Bangalore"/>
        <s v="Mumbai"/>
        <s v="Dubai"/>
        <s v="Singapore"/>
      </sharedItems>
    </cacheField>
    <cacheField name="DOJ" numFmtId="0">
      <sharedItems containsDate="1" containsMixedTypes="1" minDate="2018-12-05T00:00:00" maxDate="2023-01-04T00:00:00" count="25">
        <d v="2021-01-01T00:00:00"/>
        <s v="15/03/2020"/>
        <d v="2019-10-04T00:00:00"/>
        <d v="2022-05-02T00:00:00"/>
        <s v="20/06/2021"/>
        <s v="25/07/2020"/>
        <d v="2018-12-05T00:00:00"/>
        <s v="18/08/2022"/>
        <d v="2020-01-02T00:00:00"/>
        <d v="2021-10-11T00:00:00"/>
        <d v="2019-05-06T00:00:00"/>
        <d v="2023-01-01T00:00:00"/>
        <d v="2021-01-12T00:00:00"/>
        <d v="2022-01-01T00:00:00"/>
        <d v="2023-01-03T00:00:00"/>
        <d v="2022-10-02T00:00:00"/>
        <s v="15/05/2021"/>
        <d v="2020-01-04T00:00:00"/>
        <d v="2019-12-06T00:00:00"/>
        <s v="15/07/2020"/>
        <d v="2021-01-08T00:00:00"/>
        <d v="2022-10-09T00:00:00"/>
        <d v="2020-01-10T00:00:00"/>
        <d v="2021-01-11T00:00:00"/>
        <d v="2020-05-12T00:00:00"/>
      </sharedItems>
    </cacheField>
    <cacheField name="Exit Date" numFmtId="0">
      <sharedItems containsDate="1" containsBlank="1" containsMixedTypes="1" minDate="2023-01-08T00:00:00" maxDate="2024-05-03T00:00:00" count="11">
        <m/>
        <s v="15/03/2024"/>
        <d v="2024-05-02T00:00:00"/>
        <s v="25/07/2023"/>
        <d v="2024-01-02T00:00:00"/>
        <d v="2023-05-06T00:00:00"/>
        <d v="2024-01-03T00:00:00"/>
        <d v="2024-01-04T00:00:00"/>
        <d v="2023-12-06T00:00:00"/>
        <d v="2023-01-08T00:00:00"/>
        <d v="2023-01-11T00:00:00"/>
      </sharedItems>
    </cacheField>
    <cacheField name="Age" numFmtId="0">
      <sharedItems containsSemiMixedTypes="0" containsString="0" containsNumber="1" containsInteger="1" minValue="26" maxValue="42"/>
    </cacheField>
    <cacheField name="Gender" numFmtId="0">
      <sharedItems count="2">
        <s v="Male"/>
        <s v="Female"/>
      </sharedItems>
    </cacheField>
    <cacheField name="Marital Status" numFmtId="0">
      <sharedItems/>
    </cacheField>
    <cacheField name="Education" numFmtId="0">
      <sharedItems/>
    </cacheField>
    <cacheField name="Job Level" numFmtId="0">
      <sharedItems count="6">
        <s v="VP"/>
        <s v="AVP"/>
        <s v="DVP"/>
        <s v="Manager"/>
        <s v="Executive"/>
        <s v="DM"/>
      </sharedItems>
    </cacheField>
    <cacheField name="Salary (INR)" numFmtId="3">
      <sharedItems containsSemiMixedTypes="0" containsString="0" containsNumber="1" containsInteger="1" minValue="700000" maxValue="2500000" count="19">
        <n v="2200000"/>
        <n v="1850000"/>
        <n v="1900000"/>
        <n v="1100000"/>
        <n v="1650000"/>
        <n v="2300000"/>
        <n v="1400000"/>
        <n v="2500000"/>
        <n v="850000"/>
        <n v="1600000"/>
        <n v="700000"/>
        <n v="1500000"/>
        <n v="1000000"/>
        <n v="800000"/>
        <n v="1050000"/>
        <n v="780000"/>
        <n v="1700000"/>
        <n v="1800000"/>
        <n v="1750000"/>
      </sharedItems>
    </cacheField>
    <cacheField name="Bonus (INR)" numFmtId="3">
      <sharedItems containsSemiMixedTypes="0" containsString="0" containsNumber="1" containsInteger="1" minValue="50000" maxValue="400000" count="19">
        <n v="320000"/>
        <n v="215000"/>
        <n v="200000"/>
        <n v="110000"/>
        <n v="180000"/>
        <n v="350000"/>
        <n v="140000"/>
        <n v="400000"/>
        <n v="70000"/>
        <n v="210000"/>
        <n v="50000"/>
        <n v="160000"/>
        <n v="90000"/>
        <n v="60000"/>
        <n v="100000"/>
        <n v="55000"/>
        <n v="185000"/>
        <n v="190000"/>
        <n v="175000"/>
      </sharedItems>
    </cacheField>
    <cacheField name="Perf. Rating" numFmtId="0">
      <sharedItems containsSemiMixedTypes="0" containsString="0" containsNumber="1" containsInteger="1" minValue="3" maxValue="5"/>
    </cacheField>
    <cacheField name="Service (yrs)" numFmtId="0">
      <sharedItems containsSemiMixedTypes="0" containsString="0" containsNumber="1" containsInteger="1" minValue="1" maxValue="7"/>
    </cacheField>
    <cacheField name="Active" numFmtId="0">
      <sharedItems/>
    </cacheField>
    <cacheField name="Manager Name" numFmtId="0">
      <sharedItems/>
    </cacheField>
    <cacheField name="Exit Reason" numFmtId="0">
      <sharedItems containsBlank="1" count="7">
        <m/>
        <s v="Better Opportunity"/>
        <s v="Personal Reasons"/>
        <s v="Relocation"/>
        <s v="Retirement"/>
        <s v="Company Restructuring"/>
        <s v="Higher Education"/>
      </sharedItems>
    </cacheField>
  </cacheFields>
  <extLst>
    <ext xmlns:x14="http://schemas.microsoft.com/office/spreadsheetml/2009/9/main" uri="{725AE2AE-9491-48be-B2B4-4EB974FC3084}">
      <x14:pivotCacheDefinition pivotCacheId="213487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Aarav Patel"/>
    <x v="0"/>
    <x v="0"/>
    <x v="0"/>
    <x v="0"/>
    <n v="32"/>
    <x v="0"/>
    <s v="Married"/>
    <s v="MBA"/>
    <x v="0"/>
    <x v="0"/>
    <x v="0"/>
    <n v="5"/>
    <n v="4"/>
    <s v="N"/>
    <s v="S. Verma"/>
    <x v="0"/>
  </r>
  <r>
    <x v="1"/>
    <s v="Priya Sharma"/>
    <x v="1"/>
    <x v="1"/>
    <x v="1"/>
    <x v="1"/>
    <n v="35"/>
    <x v="1"/>
    <s v="Married"/>
    <s v="PGDM"/>
    <x v="1"/>
    <x v="1"/>
    <x v="1"/>
    <n v="4"/>
    <n v="4"/>
    <s v="Y"/>
    <s v="A. Singh"/>
    <x v="1"/>
  </r>
  <r>
    <x v="2"/>
    <s v="Rahul Kumar"/>
    <x v="2"/>
    <x v="2"/>
    <x v="2"/>
    <x v="0"/>
    <n v="40"/>
    <x v="0"/>
    <s v="Single"/>
    <s v="CA"/>
    <x v="2"/>
    <x v="2"/>
    <x v="2"/>
    <n v="5"/>
    <n v="6"/>
    <s v="N"/>
    <s v="M. Das"/>
    <x v="0"/>
  </r>
  <r>
    <x v="3"/>
    <s v="Anjali Mehta"/>
    <x v="3"/>
    <x v="3"/>
    <x v="3"/>
    <x v="2"/>
    <n v="28"/>
    <x v="1"/>
    <s v="Single"/>
    <s v="MBA"/>
    <x v="3"/>
    <x v="3"/>
    <x v="3"/>
    <n v="3"/>
    <n v="2"/>
    <s v="Y"/>
    <s v="N. Rao"/>
    <x v="2"/>
  </r>
  <r>
    <x v="4"/>
    <s v="Vikram Singh"/>
    <x v="0"/>
    <x v="0"/>
    <x v="4"/>
    <x v="0"/>
    <n v="33"/>
    <x v="0"/>
    <s v="Married"/>
    <s v="MBA"/>
    <x v="1"/>
    <x v="4"/>
    <x v="4"/>
    <n v="4"/>
    <n v="3"/>
    <s v="N"/>
    <s v="S. Verma"/>
    <x v="0"/>
  </r>
  <r>
    <x v="5"/>
    <s v="Sneha Gupta"/>
    <x v="1"/>
    <x v="4"/>
    <x v="5"/>
    <x v="3"/>
    <n v="29"/>
    <x v="1"/>
    <s v="Single"/>
    <s v="PGDM"/>
    <x v="3"/>
    <x v="3"/>
    <x v="3"/>
    <n v="3"/>
    <n v="3"/>
    <s v="Y"/>
    <s v="A. Singh"/>
    <x v="3"/>
  </r>
  <r>
    <x v="6"/>
    <s v="Mohan Das"/>
    <x v="2"/>
    <x v="0"/>
    <x v="6"/>
    <x v="0"/>
    <n v="42"/>
    <x v="0"/>
    <s v="Married"/>
    <s v="CA"/>
    <x v="0"/>
    <x v="5"/>
    <x v="5"/>
    <n v="5"/>
    <n v="7"/>
    <s v="N"/>
    <s v="M. Das"/>
    <x v="0"/>
  </r>
  <r>
    <x v="7"/>
    <s v="Nisha Rao"/>
    <x v="3"/>
    <x v="2"/>
    <x v="7"/>
    <x v="0"/>
    <n v="31"/>
    <x v="1"/>
    <s v="Married"/>
    <s v="MBA"/>
    <x v="2"/>
    <x v="6"/>
    <x v="6"/>
    <n v="4"/>
    <n v="2"/>
    <s v="N"/>
    <s v="N. Rao"/>
    <x v="0"/>
  </r>
  <r>
    <x v="8"/>
    <s v="John Lee"/>
    <x v="4"/>
    <x v="4"/>
    <x v="8"/>
    <x v="4"/>
    <n v="38"/>
    <x v="0"/>
    <s v="Married"/>
    <s v="B.Tech"/>
    <x v="0"/>
    <x v="7"/>
    <x v="7"/>
    <n v="5"/>
    <n v="4"/>
    <s v="Y"/>
    <s v="J. Tan"/>
    <x v="4"/>
  </r>
  <r>
    <x v="9"/>
    <s v="Sara Khan"/>
    <x v="0"/>
    <x v="1"/>
    <x v="9"/>
    <x v="0"/>
    <n v="29"/>
    <x v="1"/>
    <s v="Single"/>
    <s v="MBA"/>
    <x v="4"/>
    <x v="8"/>
    <x v="8"/>
    <n v="4"/>
    <n v="3"/>
    <s v="N"/>
    <s v="S. Verma"/>
    <x v="0"/>
  </r>
  <r>
    <x v="10"/>
    <s v="Omar Farooq"/>
    <x v="1"/>
    <x v="3"/>
    <x v="10"/>
    <x v="5"/>
    <n v="36"/>
    <x v="0"/>
    <s v="Married"/>
    <s v="MBA"/>
    <x v="2"/>
    <x v="9"/>
    <x v="9"/>
    <n v="4"/>
    <n v="5"/>
    <s v="Y"/>
    <s v="A. Singh"/>
    <x v="5"/>
  </r>
  <r>
    <x v="11"/>
    <s v="Rohan Gupta"/>
    <x v="2"/>
    <x v="0"/>
    <x v="11"/>
    <x v="0"/>
    <n v="27"/>
    <x v="0"/>
    <s v="Single"/>
    <s v="CA"/>
    <x v="4"/>
    <x v="10"/>
    <x v="10"/>
    <n v="4"/>
    <n v="1"/>
    <s v="N"/>
    <s v="M. Das"/>
    <x v="0"/>
  </r>
  <r>
    <x v="12"/>
    <s v="Fatima Sheikh"/>
    <x v="3"/>
    <x v="2"/>
    <x v="12"/>
    <x v="0"/>
    <n v="30"/>
    <x v="1"/>
    <s v="Married"/>
    <s v="MBA"/>
    <x v="1"/>
    <x v="11"/>
    <x v="11"/>
    <n v="4"/>
    <n v="3"/>
    <s v="N"/>
    <s v="N. Rao"/>
    <x v="0"/>
  </r>
  <r>
    <x v="13"/>
    <s v="Alex Brown"/>
    <x v="4"/>
    <x v="4"/>
    <x v="13"/>
    <x v="0"/>
    <n v="28"/>
    <x v="0"/>
    <s v="Single"/>
    <s v="B.Tech"/>
    <x v="5"/>
    <x v="12"/>
    <x v="12"/>
    <n v="4"/>
    <n v="2"/>
    <s v="N"/>
    <s v="J. Tan"/>
    <x v="0"/>
  </r>
  <r>
    <x v="14"/>
    <s v="Kiran Desai"/>
    <x v="0"/>
    <x v="3"/>
    <x v="14"/>
    <x v="6"/>
    <n v="26"/>
    <x v="1"/>
    <s v="Single"/>
    <s v="MBA"/>
    <x v="4"/>
    <x v="13"/>
    <x v="13"/>
    <n v="3"/>
    <n v="1"/>
    <s v="Y"/>
    <s v="S. Verma"/>
    <x v="6"/>
  </r>
  <r>
    <x v="15"/>
    <s v="Ajay Sinha"/>
    <x v="1"/>
    <x v="2"/>
    <x v="15"/>
    <x v="0"/>
    <n v="32"/>
    <x v="0"/>
    <s v="Married"/>
    <s v="PGDM"/>
    <x v="5"/>
    <x v="14"/>
    <x v="14"/>
    <n v="4"/>
    <n v="2"/>
    <s v="N"/>
    <s v="A. Singh"/>
    <x v="0"/>
  </r>
  <r>
    <x v="16"/>
    <s v="Meera Joshi"/>
    <x v="3"/>
    <x v="0"/>
    <x v="16"/>
    <x v="0"/>
    <n v="29"/>
    <x v="1"/>
    <s v="Married"/>
    <s v="MBA"/>
    <x v="4"/>
    <x v="15"/>
    <x v="15"/>
    <n v="3"/>
    <n v="3"/>
    <s v="N"/>
    <s v="N. Rao"/>
    <x v="0"/>
  </r>
  <r>
    <x v="17"/>
    <s v="Deepak Rawat"/>
    <x v="4"/>
    <x v="1"/>
    <x v="17"/>
    <x v="7"/>
    <n v="31"/>
    <x v="0"/>
    <s v="Single"/>
    <s v="B.Tech"/>
    <x v="1"/>
    <x v="16"/>
    <x v="16"/>
    <n v="4"/>
    <n v="4"/>
    <s v="Y"/>
    <s v="J. Tan"/>
    <x v="1"/>
  </r>
  <r>
    <x v="18"/>
    <s v="Alok Mishra"/>
    <x v="2"/>
    <x v="0"/>
    <x v="18"/>
    <x v="8"/>
    <n v="39"/>
    <x v="0"/>
    <s v="Married"/>
    <s v="CA"/>
    <x v="2"/>
    <x v="17"/>
    <x v="9"/>
    <n v="5"/>
    <n v="4"/>
    <s v="Y"/>
    <s v="M. Das"/>
    <x v="4"/>
  </r>
  <r>
    <x v="19"/>
    <s v="Ritu Singh"/>
    <x v="0"/>
    <x v="2"/>
    <x v="19"/>
    <x v="0"/>
    <n v="34"/>
    <x v="1"/>
    <s v="Married"/>
    <s v="MBA"/>
    <x v="5"/>
    <x v="14"/>
    <x v="14"/>
    <n v="4"/>
    <n v="4"/>
    <s v="N"/>
    <s v="S. Verma"/>
    <x v="0"/>
  </r>
  <r>
    <x v="20"/>
    <s v="Shyam Sundar"/>
    <x v="1"/>
    <x v="1"/>
    <x v="20"/>
    <x v="9"/>
    <n v="30"/>
    <x v="0"/>
    <s v="Single"/>
    <s v="PGDM"/>
    <x v="4"/>
    <x v="13"/>
    <x v="13"/>
    <n v="3"/>
    <n v="3"/>
    <s v="Y"/>
    <s v="A. Singh"/>
    <x v="5"/>
  </r>
  <r>
    <x v="21"/>
    <s v="Pooja Reddy"/>
    <x v="3"/>
    <x v="0"/>
    <x v="21"/>
    <x v="0"/>
    <n v="27"/>
    <x v="1"/>
    <s v="Single"/>
    <s v="MBA"/>
    <x v="4"/>
    <x v="15"/>
    <x v="15"/>
    <n v="4"/>
    <n v="2"/>
    <s v="N"/>
    <s v="N. Rao"/>
    <x v="0"/>
  </r>
  <r>
    <x v="22"/>
    <s v="Rajeev Nair"/>
    <x v="4"/>
    <x v="1"/>
    <x v="22"/>
    <x v="0"/>
    <n v="36"/>
    <x v="0"/>
    <s v="Married"/>
    <s v="B.Tech"/>
    <x v="1"/>
    <x v="18"/>
    <x v="17"/>
    <n v="5"/>
    <n v="3"/>
    <s v="N"/>
    <s v="J. Tan"/>
    <x v="0"/>
  </r>
  <r>
    <x v="23"/>
    <s v="Tanya Kapoor"/>
    <x v="2"/>
    <x v="3"/>
    <x v="23"/>
    <x v="10"/>
    <n v="29"/>
    <x v="1"/>
    <s v="Single"/>
    <s v="CA"/>
    <x v="5"/>
    <x v="12"/>
    <x v="12"/>
    <n v="4"/>
    <n v="2"/>
    <s v="Y"/>
    <s v="M. Das"/>
    <x v="2"/>
  </r>
  <r>
    <x v="24"/>
    <s v="Gaurav Jain"/>
    <x v="0"/>
    <x v="4"/>
    <x v="24"/>
    <x v="0"/>
    <n v="31"/>
    <x v="0"/>
    <s v="Married"/>
    <s v="MBA"/>
    <x v="1"/>
    <x v="9"/>
    <x v="18"/>
    <n v="4"/>
    <n v="4"/>
    <s v="N"/>
    <s v="S. Verm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FA2FE8-18DF-4515-91EB-D9882FAF8124}"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G24" firstHeaderRow="1" firstDataRow="2" firstDataCol="1"/>
  <pivotFields count="18">
    <pivotField name="Count of Emp ID" showAll="0" defaultSubtotal="0"/>
    <pivotField showAll="0"/>
    <pivotField axis="axisCol" showAll="0" sortType="ascending">
      <items count="6">
        <item x="2"/>
        <item x="3"/>
        <item x="4"/>
        <item x="1"/>
        <item x="0"/>
        <item t="default"/>
      </items>
    </pivotField>
    <pivotField dataField="1" showAll="0">
      <items count="6">
        <item x="1"/>
        <item x="3"/>
        <item x="2"/>
        <item x="0"/>
        <item x="4"/>
        <item t="default"/>
      </items>
    </pivotField>
    <pivotField showAll="0"/>
    <pivotField showAll="0"/>
    <pivotField showAll="0"/>
    <pivotField showAll="0">
      <items count="3">
        <item x="1"/>
        <item x="0"/>
        <item t="default"/>
      </items>
    </pivotField>
    <pivotField showAll="0"/>
    <pivotField showAll="0"/>
    <pivotField showAll="0">
      <items count="7">
        <item x="1"/>
        <item x="5"/>
        <item x="2"/>
        <item x="4"/>
        <item x="3"/>
        <item x="0"/>
        <item t="default"/>
      </items>
    </pivotField>
    <pivotField numFmtId="3" showAll="0"/>
    <pivotField numFmtId="3" showAll="0"/>
    <pivotField showAll="0"/>
    <pivotField showAll="0"/>
    <pivotField showAll="0"/>
    <pivotField showAll="0"/>
    <pivotField name="Row Lables" axis="axisRow" showAll="0" defaultSubtotal="0">
      <items count="7">
        <item x="1"/>
        <item x="5"/>
        <item x="6"/>
        <item x="2"/>
        <item x="3"/>
        <item x="4"/>
        <item h="1" x="0"/>
      </items>
    </pivotField>
  </pivotFields>
  <rowFields count="1">
    <field x="17"/>
  </rowFields>
  <rowItems count="7">
    <i>
      <x/>
    </i>
    <i>
      <x v="1"/>
    </i>
    <i>
      <x v="2"/>
    </i>
    <i>
      <x v="3"/>
    </i>
    <i>
      <x v="4"/>
    </i>
    <i>
      <x v="5"/>
    </i>
    <i t="grand">
      <x/>
    </i>
  </rowItems>
  <colFields count="1">
    <field x="2"/>
  </colFields>
  <colItems count="6">
    <i>
      <x/>
    </i>
    <i>
      <x v="1"/>
    </i>
    <i>
      <x v="2"/>
    </i>
    <i>
      <x v="3"/>
    </i>
    <i>
      <x v="4"/>
    </i>
    <i t="grand">
      <x/>
    </i>
  </colItems>
  <dataFields count="1">
    <dataField name="Count of  Emp ID" fld="3" subtotal="count" baseField="17" baseItem="0"/>
  </dataFields>
  <formats count="1">
    <format dxfId="41">
      <pivotArea type="origin" dataOnly="0" labelOnly="1" outline="0" fieldPosition="0"/>
    </format>
  </formats>
  <chartFormats count="6">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366C7-F0B0-4856-B6A1-7518A459A558}"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D47" firstHeaderRow="1" firstDataRow="1" firstDataCol="1"/>
  <pivotFields count="18">
    <pivotField showAll="0"/>
    <pivotField showAll="0"/>
    <pivotField axis="axisRow" showAll="0">
      <items count="6">
        <item x="2"/>
        <item x="3"/>
        <item x="4"/>
        <item x="1"/>
        <item x="0"/>
        <item t="default"/>
      </items>
    </pivotField>
    <pivotField axis="axisRow" showAll="0">
      <items count="6">
        <item x="1"/>
        <item x="3"/>
        <item x="2"/>
        <item x="0"/>
        <item x="4"/>
        <item t="default"/>
      </items>
    </pivotField>
    <pivotField showAll="0"/>
    <pivotField showAll="0"/>
    <pivotField showAll="0"/>
    <pivotField showAll="0"/>
    <pivotField showAll="0"/>
    <pivotField showAll="0"/>
    <pivotField axis="axisRow" showAll="0">
      <items count="7">
        <item x="1"/>
        <item x="5"/>
        <item x="2"/>
        <item x="4"/>
        <item x="3"/>
        <item x="0"/>
        <item t="default"/>
      </items>
    </pivotField>
    <pivotField numFmtId="3" showAll="0"/>
    <pivotField dataField="1" numFmtId="3" showAll="0"/>
    <pivotField showAll="0"/>
    <pivotField showAll="0"/>
    <pivotField showAll="0"/>
    <pivotField showAll="0"/>
    <pivotField showAll="0"/>
  </pivotFields>
  <rowFields count="3">
    <field x="3"/>
    <field x="2"/>
    <field x="10"/>
  </rowFields>
  <rowItems count="46">
    <i>
      <x/>
    </i>
    <i r="1">
      <x v="2"/>
    </i>
    <i r="2">
      <x/>
    </i>
    <i r="1">
      <x v="3"/>
    </i>
    <i r="2">
      <x/>
    </i>
    <i r="2">
      <x v="3"/>
    </i>
    <i r="1">
      <x v="4"/>
    </i>
    <i r="2">
      <x v="3"/>
    </i>
    <i>
      <x v="1"/>
    </i>
    <i r="1">
      <x/>
    </i>
    <i r="2">
      <x v="1"/>
    </i>
    <i r="1">
      <x v="1"/>
    </i>
    <i r="2">
      <x v="4"/>
    </i>
    <i r="1">
      <x v="3"/>
    </i>
    <i r="2">
      <x v="2"/>
    </i>
    <i r="1">
      <x v="4"/>
    </i>
    <i r="2">
      <x v="3"/>
    </i>
    <i>
      <x v="2"/>
    </i>
    <i r="1">
      <x/>
    </i>
    <i r="2">
      <x v="2"/>
    </i>
    <i r="1">
      <x v="1"/>
    </i>
    <i r="2">
      <x/>
    </i>
    <i r="2">
      <x v="2"/>
    </i>
    <i r="1">
      <x v="3"/>
    </i>
    <i r="2">
      <x v="1"/>
    </i>
    <i r="1">
      <x v="4"/>
    </i>
    <i r="2">
      <x v="1"/>
    </i>
    <i>
      <x v="3"/>
    </i>
    <i r="1">
      <x/>
    </i>
    <i r="2">
      <x v="2"/>
    </i>
    <i r="2">
      <x v="3"/>
    </i>
    <i r="2">
      <x v="5"/>
    </i>
    <i r="1">
      <x v="1"/>
    </i>
    <i r="2">
      <x v="3"/>
    </i>
    <i r="1">
      <x v="4"/>
    </i>
    <i r="2">
      <x/>
    </i>
    <i r="2">
      <x v="5"/>
    </i>
    <i>
      <x v="4"/>
    </i>
    <i r="1">
      <x v="2"/>
    </i>
    <i r="2">
      <x v="1"/>
    </i>
    <i r="2">
      <x v="5"/>
    </i>
    <i r="1">
      <x v="3"/>
    </i>
    <i r="2">
      <x v="4"/>
    </i>
    <i r="1">
      <x v="4"/>
    </i>
    <i r="2">
      <x/>
    </i>
    <i t="grand">
      <x/>
    </i>
  </rowItems>
  <colItems count="1">
    <i/>
  </colItems>
  <dataFields count="1">
    <dataField name="Average of Bonus (INR)" fld="12" subtotal="average" baseField="2" baseItem="0" numFmtId="3"/>
  </dataFields>
  <formats count="2">
    <format dxfId="12">
      <pivotArea field="3" type="button" dataOnly="0" labelOnly="1" outline="0" axis="axisRow" fieldPosition="0"/>
    </format>
    <format dxfId="1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A78F45-D468-464D-92BA-A3B2AD64D8FC}" name="PivotTable4" cacheId="3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8">
  <location ref="A1:B47" firstHeaderRow="1" firstDataRow="1" firstDataCol="1"/>
  <pivotFields count="18">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Row" showAll="0">
      <items count="6">
        <item x="2"/>
        <item x="3"/>
        <item x="4"/>
        <item x="1"/>
        <item x="0"/>
        <item t="default"/>
      </items>
    </pivotField>
    <pivotField axis="axisRow" showAll="0">
      <items count="6">
        <item x="1"/>
        <item x="3"/>
        <item x="2"/>
        <item x="0"/>
        <item x="4"/>
        <item t="default"/>
      </items>
    </pivotField>
    <pivotField showAll="0">
      <items count="26">
        <item x="1"/>
        <item x="16"/>
        <item x="19"/>
        <item x="7"/>
        <item x="4"/>
        <item x="5"/>
        <item x="6"/>
        <item x="10"/>
        <item x="2"/>
        <item x="18"/>
        <item x="8"/>
        <item x="17"/>
        <item x="22"/>
        <item x="24"/>
        <item x="0"/>
        <item x="20"/>
        <item x="23"/>
        <item x="12"/>
        <item x="9"/>
        <item x="13"/>
        <item x="3"/>
        <item x="15"/>
        <item x="21"/>
        <item x="11"/>
        <item x="14"/>
        <item t="default"/>
      </items>
    </pivotField>
    <pivotField showAll="0">
      <items count="12">
        <item x="1"/>
        <item x="3"/>
        <item x="9"/>
        <item x="10"/>
        <item x="5"/>
        <item x="8"/>
        <item x="4"/>
        <item x="6"/>
        <item x="7"/>
        <item x="2"/>
        <item x="0"/>
        <item t="default"/>
      </items>
    </pivotField>
    <pivotField showAll="0"/>
    <pivotField showAll="0">
      <items count="3">
        <item x="1"/>
        <item x="0"/>
        <item t="default"/>
      </items>
    </pivotField>
    <pivotField showAll="0"/>
    <pivotField showAll="0"/>
    <pivotField axis="axisRow" showAll="0">
      <items count="7">
        <item x="1"/>
        <item x="5"/>
        <item x="2"/>
        <item x="4"/>
        <item x="3"/>
        <item x="0"/>
        <item t="default"/>
      </items>
    </pivotField>
    <pivotField dataField="1" numFmtId="3" showAll="0">
      <items count="20">
        <item x="10"/>
        <item x="15"/>
        <item x="13"/>
        <item x="8"/>
        <item x="12"/>
        <item x="14"/>
        <item x="3"/>
        <item x="6"/>
        <item x="11"/>
        <item x="9"/>
        <item x="4"/>
        <item x="16"/>
        <item x="18"/>
        <item x="17"/>
        <item x="1"/>
        <item x="2"/>
        <item x="0"/>
        <item x="5"/>
        <item x="7"/>
        <item t="default"/>
      </items>
    </pivotField>
    <pivotField numFmtId="3" showAll="0">
      <items count="20">
        <item x="10"/>
        <item x="15"/>
        <item x="13"/>
        <item x="8"/>
        <item x="12"/>
        <item x="14"/>
        <item x="3"/>
        <item x="6"/>
        <item x="11"/>
        <item x="18"/>
        <item x="4"/>
        <item x="16"/>
        <item x="17"/>
        <item x="2"/>
        <item x="9"/>
        <item x="1"/>
        <item x="0"/>
        <item x="5"/>
        <item x="7"/>
        <item t="default"/>
      </items>
    </pivotField>
    <pivotField showAll="0"/>
    <pivotField showAll="0"/>
    <pivotField showAll="0"/>
    <pivotField showAll="0"/>
    <pivotField showAll="0"/>
  </pivotFields>
  <rowFields count="3">
    <field x="3"/>
    <field x="2"/>
    <field x="10"/>
  </rowFields>
  <rowItems count="46">
    <i>
      <x/>
    </i>
    <i r="1">
      <x v="2"/>
    </i>
    <i r="2">
      <x/>
    </i>
    <i r="1">
      <x v="3"/>
    </i>
    <i r="2">
      <x/>
    </i>
    <i r="2">
      <x v="3"/>
    </i>
    <i r="1">
      <x v="4"/>
    </i>
    <i r="2">
      <x v="3"/>
    </i>
    <i>
      <x v="1"/>
    </i>
    <i r="1">
      <x/>
    </i>
    <i r="2">
      <x v="1"/>
    </i>
    <i r="1">
      <x v="1"/>
    </i>
    <i r="2">
      <x v="4"/>
    </i>
    <i r="1">
      <x v="3"/>
    </i>
    <i r="2">
      <x v="2"/>
    </i>
    <i r="1">
      <x v="4"/>
    </i>
    <i r="2">
      <x v="3"/>
    </i>
    <i>
      <x v="2"/>
    </i>
    <i r="1">
      <x/>
    </i>
    <i r="2">
      <x v="2"/>
    </i>
    <i r="1">
      <x v="1"/>
    </i>
    <i r="2">
      <x/>
    </i>
    <i r="2">
      <x v="2"/>
    </i>
    <i r="1">
      <x v="3"/>
    </i>
    <i r="2">
      <x v="1"/>
    </i>
    <i r="1">
      <x v="4"/>
    </i>
    <i r="2">
      <x v="1"/>
    </i>
    <i>
      <x v="3"/>
    </i>
    <i r="1">
      <x/>
    </i>
    <i r="2">
      <x v="2"/>
    </i>
    <i r="2">
      <x v="3"/>
    </i>
    <i r="2">
      <x v="5"/>
    </i>
    <i r="1">
      <x v="1"/>
    </i>
    <i r="2">
      <x v="3"/>
    </i>
    <i r="1">
      <x v="4"/>
    </i>
    <i r="2">
      <x/>
    </i>
    <i r="2">
      <x v="5"/>
    </i>
    <i>
      <x v="4"/>
    </i>
    <i r="1">
      <x v="2"/>
    </i>
    <i r="2">
      <x v="1"/>
    </i>
    <i r="2">
      <x v="5"/>
    </i>
    <i r="1">
      <x v="3"/>
    </i>
    <i r="2">
      <x v="4"/>
    </i>
    <i r="1">
      <x v="4"/>
    </i>
    <i r="2">
      <x/>
    </i>
    <i t="grand">
      <x/>
    </i>
  </rowItems>
  <colItems count="1">
    <i/>
  </colItems>
  <dataFields count="1">
    <dataField name="Average of Salary (INR)" fld="11" subtotal="average" baseField="2" baseItem="0" numFmtId="3"/>
  </dataFields>
  <formats count="30">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fieldPosition="0">
        <references count="2">
          <reference field="2" count="3">
            <x v="2"/>
            <x v="3"/>
            <x v="4"/>
          </reference>
          <reference field="3" count="1" selected="0">
            <x v="0"/>
          </reference>
        </references>
      </pivotArea>
    </format>
    <format dxfId="34">
      <pivotArea dataOnly="0" labelOnly="1" fieldPosition="0">
        <references count="2">
          <reference field="2" count="4">
            <x v="0"/>
            <x v="1"/>
            <x v="3"/>
            <x v="4"/>
          </reference>
          <reference field="3" count="1" selected="0">
            <x v="1"/>
          </reference>
        </references>
      </pivotArea>
    </format>
    <format dxfId="33">
      <pivotArea dataOnly="0" labelOnly="1" fieldPosition="0">
        <references count="2">
          <reference field="2" count="4">
            <x v="0"/>
            <x v="1"/>
            <x v="3"/>
            <x v="4"/>
          </reference>
          <reference field="3" count="1" selected="0">
            <x v="2"/>
          </reference>
        </references>
      </pivotArea>
    </format>
    <format dxfId="32">
      <pivotArea dataOnly="0" labelOnly="1" fieldPosition="0">
        <references count="2">
          <reference field="2" count="3">
            <x v="0"/>
            <x v="1"/>
            <x v="4"/>
          </reference>
          <reference field="3" count="1" selected="0">
            <x v="3"/>
          </reference>
        </references>
      </pivotArea>
    </format>
    <format dxfId="31">
      <pivotArea dataOnly="0" labelOnly="1" fieldPosition="0">
        <references count="2">
          <reference field="2" count="3">
            <x v="2"/>
            <x v="3"/>
            <x v="4"/>
          </reference>
          <reference field="3" count="1" selected="0">
            <x v="4"/>
          </reference>
        </references>
      </pivotArea>
    </format>
    <format dxfId="30">
      <pivotArea dataOnly="0" labelOnly="1" fieldPosition="0">
        <references count="3">
          <reference field="2" count="1" selected="0">
            <x v="2"/>
          </reference>
          <reference field="3" count="1" selected="0">
            <x v="0"/>
          </reference>
          <reference field="10" count="1">
            <x v="0"/>
          </reference>
        </references>
      </pivotArea>
    </format>
    <format dxfId="29">
      <pivotArea dataOnly="0" labelOnly="1" fieldPosition="0">
        <references count="3">
          <reference field="2" count="1" selected="0">
            <x v="3"/>
          </reference>
          <reference field="3" count="1" selected="0">
            <x v="0"/>
          </reference>
          <reference field="10" count="2">
            <x v="0"/>
            <x v="3"/>
          </reference>
        </references>
      </pivotArea>
    </format>
    <format dxfId="28">
      <pivotArea dataOnly="0" labelOnly="1" fieldPosition="0">
        <references count="3">
          <reference field="2" count="1" selected="0">
            <x v="4"/>
          </reference>
          <reference field="3" count="1" selected="0">
            <x v="0"/>
          </reference>
          <reference field="10" count="1">
            <x v="3"/>
          </reference>
        </references>
      </pivotArea>
    </format>
    <format dxfId="27">
      <pivotArea dataOnly="0" labelOnly="1" fieldPosition="0">
        <references count="3">
          <reference field="2" count="1" selected="0">
            <x v="0"/>
          </reference>
          <reference field="3" count="1" selected="0">
            <x v="1"/>
          </reference>
          <reference field="10" count="1">
            <x v="1"/>
          </reference>
        </references>
      </pivotArea>
    </format>
    <format dxfId="26">
      <pivotArea dataOnly="0" labelOnly="1" fieldPosition="0">
        <references count="3">
          <reference field="2" count="1" selected="0">
            <x v="1"/>
          </reference>
          <reference field="3" count="1" selected="0">
            <x v="1"/>
          </reference>
          <reference field="10" count="1">
            <x v="4"/>
          </reference>
        </references>
      </pivotArea>
    </format>
    <format dxfId="25">
      <pivotArea dataOnly="0" labelOnly="1" fieldPosition="0">
        <references count="3">
          <reference field="2" count="1" selected="0">
            <x v="3"/>
          </reference>
          <reference field="3" count="1" selected="0">
            <x v="1"/>
          </reference>
          <reference field="10" count="1">
            <x v="2"/>
          </reference>
        </references>
      </pivotArea>
    </format>
    <format dxfId="24">
      <pivotArea dataOnly="0" labelOnly="1" fieldPosition="0">
        <references count="3">
          <reference field="2" count="1" selected="0">
            <x v="4"/>
          </reference>
          <reference field="3" count="1" selected="0">
            <x v="1"/>
          </reference>
          <reference field="10" count="1">
            <x v="3"/>
          </reference>
        </references>
      </pivotArea>
    </format>
    <format dxfId="23">
      <pivotArea dataOnly="0" labelOnly="1" fieldPosition="0">
        <references count="3">
          <reference field="2" count="1" selected="0">
            <x v="0"/>
          </reference>
          <reference field="3" count="1" selected="0">
            <x v="2"/>
          </reference>
          <reference field="10" count="1">
            <x v="2"/>
          </reference>
        </references>
      </pivotArea>
    </format>
    <format dxfId="22">
      <pivotArea dataOnly="0" labelOnly="1" fieldPosition="0">
        <references count="3">
          <reference field="2" count="1" selected="0">
            <x v="1"/>
          </reference>
          <reference field="3" count="1" selected="0">
            <x v="2"/>
          </reference>
          <reference field="10" count="2">
            <x v="0"/>
            <x v="2"/>
          </reference>
        </references>
      </pivotArea>
    </format>
    <format dxfId="21">
      <pivotArea dataOnly="0" labelOnly="1" fieldPosition="0">
        <references count="3">
          <reference field="2" count="1" selected="0">
            <x v="3"/>
          </reference>
          <reference field="3" count="1" selected="0">
            <x v="2"/>
          </reference>
          <reference field="10" count="1">
            <x v="1"/>
          </reference>
        </references>
      </pivotArea>
    </format>
    <format dxfId="20">
      <pivotArea dataOnly="0" labelOnly="1" fieldPosition="0">
        <references count="3">
          <reference field="2" count="1" selected="0">
            <x v="4"/>
          </reference>
          <reference field="3" count="1" selected="0">
            <x v="2"/>
          </reference>
          <reference field="10" count="1">
            <x v="1"/>
          </reference>
        </references>
      </pivotArea>
    </format>
    <format dxfId="19">
      <pivotArea dataOnly="0" labelOnly="1" fieldPosition="0">
        <references count="3">
          <reference field="2" count="1" selected="0">
            <x v="0"/>
          </reference>
          <reference field="3" count="1" selected="0">
            <x v="3"/>
          </reference>
          <reference field="10" count="3">
            <x v="2"/>
            <x v="3"/>
            <x v="5"/>
          </reference>
        </references>
      </pivotArea>
    </format>
    <format dxfId="18">
      <pivotArea dataOnly="0" labelOnly="1" fieldPosition="0">
        <references count="3">
          <reference field="2" count="1" selected="0">
            <x v="1"/>
          </reference>
          <reference field="3" count="1" selected="0">
            <x v="3"/>
          </reference>
          <reference field="10" count="1">
            <x v="3"/>
          </reference>
        </references>
      </pivotArea>
    </format>
    <format dxfId="17">
      <pivotArea dataOnly="0" labelOnly="1" fieldPosition="0">
        <references count="3">
          <reference field="2" count="1" selected="0">
            <x v="4"/>
          </reference>
          <reference field="3" count="1" selected="0">
            <x v="3"/>
          </reference>
          <reference field="10" count="2">
            <x v="0"/>
            <x v="5"/>
          </reference>
        </references>
      </pivotArea>
    </format>
    <format dxfId="16">
      <pivotArea dataOnly="0" labelOnly="1" fieldPosition="0">
        <references count="3">
          <reference field="2" count="1" selected="0">
            <x v="2"/>
          </reference>
          <reference field="3" count="1" selected="0">
            <x v="4"/>
          </reference>
          <reference field="10" count="2">
            <x v="1"/>
            <x v="5"/>
          </reference>
        </references>
      </pivotArea>
    </format>
    <format dxfId="15">
      <pivotArea dataOnly="0" labelOnly="1" fieldPosition="0">
        <references count="3">
          <reference field="2" count="1" selected="0">
            <x v="3"/>
          </reference>
          <reference field="3" count="1" selected="0">
            <x v="4"/>
          </reference>
          <reference field="10" count="1">
            <x v="4"/>
          </reference>
        </references>
      </pivotArea>
    </format>
    <format dxfId="14">
      <pivotArea dataOnly="0" labelOnly="1" fieldPosition="0">
        <references count="3">
          <reference field="2" count="1" selected="0">
            <x v="4"/>
          </reference>
          <reference field="3" count="1" selected="0">
            <x v="4"/>
          </reference>
          <reference field="10" count="1">
            <x v="0"/>
          </reference>
        </references>
      </pivotArea>
    </format>
    <format dxfId="13">
      <pivotArea dataOnly="0" labelOnly="1" outline="0" axis="axisValues" fieldPosition="0"/>
    </format>
    <format dxfId="10">
      <pivotArea field="3" type="button" dataOnly="0" labelOnly="1" outline="0" axis="axisRow" fieldPosition="0"/>
    </format>
    <format dxfId="9">
      <pivotArea dataOnly="0" labelOnly="1" outline="0" axis="axisValues" fieldPosition="0"/>
    </format>
  </formats>
  <chartFormats count="1">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5DFEBA09-1D4E-42F0-8E3D-DD6AA54881DF}" sourceName="Dept">
  <pivotTables>
    <pivotTable tabId="2" name="PivotTable3"/>
  </pivotTables>
  <data>
    <tabular pivotCacheId="213487825">
      <items count="5">
        <i x="2"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8ECEABE-8B5A-4932-873B-0D100BD5CE48}" sourceName="Location">
  <pivotTables>
    <pivotTable tabId="2" name="PivotTable3"/>
  </pivotTables>
  <data>
    <tabular pivotCacheId="213487825">
      <items count="5">
        <i x="1" s="1"/>
        <i x="3" s="1"/>
        <i x="0" s="1"/>
        <i x="4"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_Reason" xr10:uid="{482E0206-5454-4A5E-8B69-B93839AD73D3}" sourceName="Exit Reason">
  <pivotTables>
    <pivotTable tabId="2" name="PivotTable3"/>
  </pivotTables>
  <data>
    <tabular pivotCacheId="213487825">
      <items count="7">
        <i x="1" s="1"/>
        <i x="5" s="1"/>
        <i x="6" s="1"/>
        <i x="2" s="1"/>
        <i x="3" s="1"/>
        <i x="4"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AE2F09-84AE-4327-9447-B31DF9AD43EE}" sourceName="Gender">
  <pivotTables>
    <pivotTable tabId="2" name="PivotTable3"/>
  </pivotTables>
  <data>
    <tabular pivotCacheId="21348782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74ED4C8B-3EC2-4B0B-A63F-CB06CEDEBF7A}" sourceName="Job Level">
  <pivotTables>
    <pivotTable tabId="2" name="PivotTable3"/>
  </pivotTables>
  <data>
    <tabular pivotCacheId="213487825">
      <items count="6">
        <i x="1" s="1"/>
        <i x="5" s="1"/>
        <i x="2" s="1"/>
        <i x="4"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1" xr10:uid="{49FA38E0-2E86-4170-AFA8-275097F50C57}" sourceName="Dept">
  <pivotTables>
    <pivotTable tabId="5" name="PivotTable4"/>
  </pivotTables>
  <data>
    <tabular pivotCacheId="213487825">
      <items count="5">
        <i x="2" s="1"/>
        <i x="3" s="1"/>
        <i x="4"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F280C8AE-9AE2-4066-9BB8-BEEB90C9B2CB}" sourceName="Location">
  <pivotTables>
    <pivotTable tabId="5" name="PivotTable4"/>
  </pivotTables>
  <data>
    <tabular pivotCacheId="213487825">
      <items count="5">
        <i x="1" s="1"/>
        <i x="3" s="1"/>
        <i x="2" s="1"/>
        <i x="0"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7ADF393-311E-4944-A43D-19D1F6334919}" sourceName="Gender">
  <pivotTables>
    <pivotTable tabId="5" name="PivotTable4"/>
  </pivotTables>
  <data>
    <tabular pivotCacheId="213487825">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1" xr10:uid="{5F18ED02-31E9-4ADE-AA81-811C29514CCD}" sourceName="Job Level">
  <pivotTables>
    <pivotTable tabId="5" name="PivotTable4"/>
  </pivotTables>
  <data>
    <tabular pivotCacheId="213487825">
      <items count="6">
        <i x="1" s="1"/>
        <i x="5"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E560E1B9-9DB3-4F12-9181-13C03BA7230A}" cache="Slicer_Dept" caption="Dept" rowHeight="247650"/>
  <slicer name="Location" xr10:uid="{59F44B9D-207D-41C3-AE5D-31169EDB0D9E}" cache="Slicer_Location" caption="Location" rowHeight="247650"/>
  <slicer name="Exit Reason" xr10:uid="{4F791996-FD9C-478E-8147-3619D8B0954C}" cache="Slicer_Exit_Reason" caption="Exit Reason" rowHeight="247650"/>
  <slicer name="Gender" xr10:uid="{D34A95C7-D761-449F-AA18-A481BFCBF004}" cache="Slicer_Gender" caption="Gender" rowHeight="247650"/>
  <slicer name="Job Level" xr10:uid="{AA3FA144-346B-4D72-A993-0786BFE6B675}" cache="Slicer_Job_Level" caption="Job Level"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1" xr10:uid="{5D56AA9F-AE5B-4197-A4E5-9D24642BE26A}" cache="Slicer_Dept1" caption="Dept" rowHeight="247650"/>
  <slicer name="Location 1" xr10:uid="{E7C65B9C-5C3E-459A-9081-8055D96CC778}" cache="Slicer_Location1" caption="Location" rowHeight="247650"/>
  <slicer name="Gender 1" xr10:uid="{8DB874CC-5335-4862-AD1D-BBF01BEF6CDA}" cache="Slicer_Gender1" caption="Gender" rowHeight="247650"/>
  <slicer name="Job Level 1" xr10:uid="{A3251B8F-DD80-45D7-A2E5-6EE4FBCB96BF}" cache="Slicer_Job_Level1" caption="Job Lev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FC630A-E315-4BCF-90CE-87957E9E8BBD}" name="Table1" displayName="Table1" ref="A1:R26" totalsRowShown="0" headerRowDxfId="61" dataDxfId="60">
  <autoFilter ref="A1:R26" xr:uid="{15FC630A-E315-4BCF-90CE-87957E9E8BBD}">
    <filterColumn colId="7">
      <filters>
        <filter val="Male"/>
      </filters>
    </filterColumn>
  </autoFilter>
  <tableColumns count="18">
    <tableColumn id="1" xr3:uid="{490E63AC-5A29-4ECF-828B-52BD9ED84C28}" name="Emp ID" dataDxfId="59"/>
    <tableColumn id="2" xr3:uid="{A00B54F1-7326-4590-AC19-8A0CE7102DD4}" name="Name" dataDxfId="58"/>
    <tableColumn id="3" xr3:uid="{16CEB7D7-24A3-40CC-B906-031483B2B56C}" name="Dept" dataDxfId="57"/>
    <tableColumn id="4" xr3:uid="{A3FE2F4B-F365-4243-85E9-475D56E45BFF}" name="Location" dataDxfId="56"/>
    <tableColumn id="5" xr3:uid="{7E441D40-2983-4001-9BAB-DF07CB45936D}" name="DOJ" dataDxfId="55"/>
    <tableColumn id="6" xr3:uid="{CCEA366A-09C1-4BBD-A755-B02005E3BF7D}" name="Exit Date" dataDxfId="54"/>
    <tableColumn id="7" xr3:uid="{513A1BCA-341E-4568-AB40-DB720FD0A350}" name="Age" dataDxfId="53"/>
    <tableColumn id="8" xr3:uid="{54BA754A-3671-4A87-9587-1C9E7C6CFB09}" name="Gender" dataDxfId="52"/>
    <tableColumn id="9" xr3:uid="{3C26FF7A-3174-4BD3-BD32-09A476A5CD34}" name="Marital Status" dataDxfId="51"/>
    <tableColumn id="10" xr3:uid="{7535EF46-DCBA-4FC3-8416-6126769E63AC}" name="Education" dataDxfId="50"/>
    <tableColumn id="11" xr3:uid="{A7B5EC6D-A314-4566-AFAA-F450963534D1}" name="Job Level" dataDxfId="49"/>
    <tableColumn id="12" xr3:uid="{87AAE8C9-8A90-4B0A-B3E6-983B13DB3081}" name="Salary (INR)" dataDxfId="48"/>
    <tableColumn id="13" xr3:uid="{FB069D64-B8DE-4E00-A750-4FA0B8E5EC4A}" name="Bonus (INR)" dataDxfId="47"/>
    <tableColumn id="14" xr3:uid="{A8B8B170-3764-419D-9D7F-8307A7DC2713}" name="Perf. Rating" dataDxfId="46"/>
    <tableColumn id="15" xr3:uid="{FF720DE4-FCCE-43C7-9C0A-644FDF9085AD}" name="Service (yrs)" dataDxfId="45"/>
    <tableColumn id="16" xr3:uid="{A7A07CD9-0DEC-4FBE-8CD0-1A5CEADE36BA}" name="Active" dataDxfId="44"/>
    <tableColumn id="17" xr3:uid="{581623C4-150E-432C-A5F5-1BBFCD3DF4C3}" name="Manager Name" dataDxfId="43"/>
    <tableColumn id="18" xr3:uid="{8CF46A3B-3F69-485A-B66B-2621D0B45B92}" name="Exit Reason" dataDxfId="4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9E1D8B-B13B-4888-8138-D68C1F953D27}" name="Table3" displayName="Table3" ref="A4:D18" totalsRowShown="0" headerRowDxfId="3" tableBorderDxfId="8">
  <autoFilter ref="A4:D18" xr:uid="{CD9E1D8B-B13B-4888-8138-D68C1F953D27}"/>
  <sortState xmlns:xlrd2="http://schemas.microsoft.com/office/spreadsheetml/2017/richdata2" ref="A5:D18">
    <sortCondition ref="D4:D18"/>
  </sortState>
  <tableColumns count="4">
    <tableColumn id="1" xr3:uid="{98A33E41-840F-4D02-BBE9-9E9329232335}" name="Dept" dataDxfId="7"/>
    <tableColumn id="2" xr3:uid="{C941C789-1025-423D-8624-D948B18E9AC4}" name="Location" dataDxfId="6"/>
    <tableColumn id="3" xr3:uid="{531A976E-DFDE-4E1F-BC88-240485EF3439}" name="Salary (INR)" dataDxfId="5"/>
    <tableColumn id="4" xr3:uid="{CEF758DF-C30D-478C-914A-54EC8B18FCDB}" name="Bonus (INR)" dataDxfId="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DA462-475D-4684-BD4E-5175C5CAFBEA}">
  <dimension ref="A1:R26"/>
  <sheetViews>
    <sheetView workbookViewId="0">
      <selection activeCell="F28" sqref="F28"/>
    </sheetView>
  </sheetViews>
  <sheetFormatPr defaultColWidth="23.5546875" defaultRowHeight="14.4" x14ac:dyDescent="0.3"/>
  <cols>
    <col min="1" max="1" width="11.5546875" style="1" bestFit="1" customWidth="1"/>
    <col min="2" max="2" width="12.33203125" style="1" bestFit="1" customWidth="1"/>
    <col min="3" max="3" width="9.5546875" style="1" bestFit="1" customWidth="1"/>
    <col min="4" max="4" width="12.77734375" style="1" bestFit="1" customWidth="1"/>
    <col min="5" max="5" width="10.33203125" style="1" bestFit="1" customWidth="1"/>
    <col min="6" max="6" width="13.109375" style="1" bestFit="1" customWidth="1"/>
    <col min="7" max="7" width="8.77734375" style="1" bestFit="1" customWidth="1"/>
    <col min="8" max="8" width="11.5546875" style="1" bestFit="1" customWidth="1"/>
    <col min="9" max="9" width="17.21875" style="1" bestFit="1" customWidth="1"/>
    <col min="10" max="10" width="14" style="1" bestFit="1" customWidth="1"/>
    <col min="11" max="11" width="13.33203125" style="1" bestFit="1" customWidth="1"/>
    <col min="12" max="13" width="15.5546875" style="1" bestFit="1" customWidth="1"/>
    <col min="14" max="14" width="15.33203125" style="1" bestFit="1" customWidth="1"/>
    <col min="15" max="15" width="15.77734375" style="1" bestFit="1" customWidth="1"/>
    <col min="16" max="16" width="10.77734375" style="1" bestFit="1" customWidth="1"/>
    <col min="17" max="17" width="18.6640625" style="1" bestFit="1" customWidth="1"/>
    <col min="18" max="18" width="19.5546875" style="1" bestFit="1" customWidth="1"/>
    <col min="19" max="16384" width="23.5546875" style="1"/>
  </cols>
  <sheetData>
    <row r="1" spans="1:18" x14ac:dyDescent="0.3">
      <c r="A1" s="8" t="s">
        <v>22</v>
      </c>
      <c r="B1" s="8" t="s">
        <v>0</v>
      </c>
      <c r="C1" s="8" t="s">
        <v>23</v>
      </c>
      <c r="D1" s="8" t="s">
        <v>24</v>
      </c>
      <c r="E1" s="8" t="s">
        <v>25</v>
      </c>
      <c r="F1" s="8" t="s">
        <v>26</v>
      </c>
      <c r="G1" s="8" t="s">
        <v>27</v>
      </c>
      <c r="H1" s="8" t="s">
        <v>28</v>
      </c>
      <c r="I1" s="8" t="s">
        <v>29</v>
      </c>
      <c r="J1" s="8" t="s">
        <v>30</v>
      </c>
      <c r="K1" s="8" t="s">
        <v>31</v>
      </c>
      <c r="L1" s="8" t="s">
        <v>1</v>
      </c>
      <c r="M1" s="8" t="s">
        <v>32</v>
      </c>
      <c r="N1" s="8" t="s">
        <v>33</v>
      </c>
      <c r="O1" s="8" t="s">
        <v>34</v>
      </c>
      <c r="P1" s="8" t="s">
        <v>112</v>
      </c>
      <c r="Q1" s="8" t="s">
        <v>35</v>
      </c>
      <c r="R1" s="8" t="s">
        <v>36</v>
      </c>
    </row>
    <row r="2" spans="1:18" ht="15" thickBot="1" x14ac:dyDescent="0.35">
      <c r="A2" s="2" t="s">
        <v>2</v>
      </c>
      <c r="B2" s="2" t="s">
        <v>3</v>
      </c>
      <c r="C2" s="2" t="s">
        <v>4</v>
      </c>
      <c r="D2" s="2" t="s">
        <v>37</v>
      </c>
      <c r="E2" s="3">
        <v>44197</v>
      </c>
      <c r="F2" s="2"/>
      <c r="G2" s="2">
        <v>32</v>
      </c>
      <c r="H2" s="2" t="s">
        <v>38</v>
      </c>
      <c r="I2" s="2" t="s">
        <v>39</v>
      </c>
      <c r="J2" s="2" t="s">
        <v>40</v>
      </c>
      <c r="K2" s="2" t="s">
        <v>78</v>
      </c>
      <c r="L2" s="4">
        <v>2200000</v>
      </c>
      <c r="M2" s="4">
        <v>320000</v>
      </c>
      <c r="N2" s="2">
        <v>5</v>
      </c>
      <c r="O2" s="2">
        <v>4</v>
      </c>
      <c r="P2" s="2" t="s">
        <v>42</v>
      </c>
      <c r="Q2" s="2" t="s">
        <v>43</v>
      </c>
      <c r="R2" s="2"/>
    </row>
    <row r="3" spans="1:18" ht="15" hidden="1" thickBot="1" x14ac:dyDescent="0.35">
      <c r="A3" s="2" t="s">
        <v>5</v>
      </c>
      <c r="B3" s="2" t="s">
        <v>6</v>
      </c>
      <c r="C3" s="2" t="s">
        <v>7</v>
      </c>
      <c r="D3" s="2" t="s">
        <v>79</v>
      </c>
      <c r="E3" s="2" t="s">
        <v>44</v>
      </c>
      <c r="F3" s="2" t="s">
        <v>45</v>
      </c>
      <c r="G3" s="2">
        <v>35</v>
      </c>
      <c r="H3" s="2" t="s">
        <v>46</v>
      </c>
      <c r="I3" s="2" t="s">
        <v>39</v>
      </c>
      <c r="J3" s="2" t="s">
        <v>47</v>
      </c>
      <c r="K3" s="2" t="s">
        <v>80</v>
      </c>
      <c r="L3" s="4">
        <v>1850000</v>
      </c>
      <c r="M3" s="4">
        <v>215000</v>
      </c>
      <c r="N3" s="2">
        <v>4</v>
      </c>
      <c r="O3" s="2">
        <v>4</v>
      </c>
      <c r="P3" s="2" t="s">
        <v>48</v>
      </c>
      <c r="Q3" s="2" t="s">
        <v>49</v>
      </c>
      <c r="R3" s="2" t="s">
        <v>50</v>
      </c>
    </row>
    <row r="4" spans="1:18" ht="15" thickBot="1" x14ac:dyDescent="0.35">
      <c r="A4" s="2" t="s">
        <v>8</v>
      </c>
      <c r="B4" s="2" t="s">
        <v>9</v>
      </c>
      <c r="C4" s="2" t="s">
        <v>10</v>
      </c>
      <c r="D4" s="2" t="s">
        <v>81</v>
      </c>
      <c r="E4" s="3">
        <v>43742</v>
      </c>
      <c r="F4" s="2"/>
      <c r="G4" s="2">
        <v>40</v>
      </c>
      <c r="H4" s="2" t="s">
        <v>38</v>
      </c>
      <c r="I4" s="2" t="s">
        <v>51</v>
      </c>
      <c r="J4" s="2" t="s">
        <v>52</v>
      </c>
      <c r="K4" s="2" t="s">
        <v>82</v>
      </c>
      <c r="L4" s="4">
        <v>1900000</v>
      </c>
      <c r="M4" s="4">
        <v>200000</v>
      </c>
      <c r="N4" s="2">
        <v>5</v>
      </c>
      <c r="O4" s="2">
        <v>6</v>
      </c>
      <c r="P4" s="2" t="s">
        <v>42</v>
      </c>
      <c r="Q4" s="2" t="s">
        <v>53</v>
      </c>
      <c r="R4" s="2"/>
    </row>
    <row r="5" spans="1:18" ht="15" hidden="1" thickBot="1" x14ac:dyDescent="0.35">
      <c r="A5" s="2" t="s">
        <v>11</v>
      </c>
      <c r="B5" s="2" t="s">
        <v>12</v>
      </c>
      <c r="C5" s="2" t="s">
        <v>13</v>
      </c>
      <c r="D5" s="2" t="s">
        <v>68</v>
      </c>
      <c r="E5" s="3">
        <v>44683</v>
      </c>
      <c r="F5" s="3">
        <v>45414</v>
      </c>
      <c r="G5" s="2">
        <v>28</v>
      </c>
      <c r="H5" s="2" t="s">
        <v>46</v>
      </c>
      <c r="I5" s="2" t="s">
        <v>51</v>
      </c>
      <c r="J5" s="2" t="s">
        <v>40</v>
      </c>
      <c r="K5" s="2" t="s">
        <v>41</v>
      </c>
      <c r="L5" s="4">
        <v>1100000</v>
      </c>
      <c r="M5" s="4">
        <v>110000</v>
      </c>
      <c r="N5" s="2">
        <v>3</v>
      </c>
      <c r="O5" s="2">
        <v>2</v>
      </c>
      <c r="P5" s="2" t="s">
        <v>48</v>
      </c>
      <c r="Q5" s="2" t="s">
        <v>54</v>
      </c>
      <c r="R5" s="2" t="s">
        <v>83</v>
      </c>
    </row>
    <row r="6" spans="1:18" ht="15" thickBot="1" x14ac:dyDescent="0.35">
      <c r="A6" s="2" t="s">
        <v>14</v>
      </c>
      <c r="B6" s="2" t="s">
        <v>15</v>
      </c>
      <c r="C6" s="2" t="s">
        <v>4</v>
      </c>
      <c r="D6" s="2" t="s">
        <v>37</v>
      </c>
      <c r="E6" s="2" t="s">
        <v>55</v>
      </c>
      <c r="F6" s="2"/>
      <c r="G6" s="2">
        <v>33</v>
      </c>
      <c r="H6" s="2" t="s">
        <v>38</v>
      </c>
      <c r="I6" s="2" t="s">
        <v>39</v>
      </c>
      <c r="J6" s="2" t="s">
        <v>40</v>
      </c>
      <c r="K6" s="2" t="s">
        <v>80</v>
      </c>
      <c r="L6" s="4">
        <v>1650000</v>
      </c>
      <c r="M6" s="4">
        <v>180000</v>
      </c>
      <c r="N6" s="2">
        <v>4</v>
      </c>
      <c r="O6" s="2">
        <v>3</v>
      </c>
      <c r="P6" s="2" t="s">
        <v>42</v>
      </c>
      <c r="Q6" s="2" t="s">
        <v>43</v>
      </c>
      <c r="R6" s="2"/>
    </row>
    <row r="7" spans="1:18" ht="15" hidden="1" thickBot="1" x14ac:dyDescent="0.35">
      <c r="A7" s="2" t="s">
        <v>16</v>
      </c>
      <c r="B7" s="2" t="s">
        <v>17</v>
      </c>
      <c r="C7" s="2" t="s">
        <v>7</v>
      </c>
      <c r="D7" s="2" t="s">
        <v>63</v>
      </c>
      <c r="E7" s="2" t="s">
        <v>56</v>
      </c>
      <c r="F7" s="2" t="s">
        <v>57</v>
      </c>
      <c r="G7" s="2">
        <v>29</v>
      </c>
      <c r="H7" s="2" t="s">
        <v>46</v>
      </c>
      <c r="I7" s="2" t="s">
        <v>51</v>
      </c>
      <c r="J7" s="2" t="s">
        <v>47</v>
      </c>
      <c r="K7" s="2" t="s">
        <v>41</v>
      </c>
      <c r="L7" s="4">
        <v>1100000</v>
      </c>
      <c r="M7" s="4">
        <v>110000</v>
      </c>
      <c r="N7" s="2">
        <v>3</v>
      </c>
      <c r="O7" s="2">
        <v>3</v>
      </c>
      <c r="P7" s="2" t="s">
        <v>48</v>
      </c>
      <c r="Q7" s="2" t="s">
        <v>49</v>
      </c>
      <c r="R7" s="2" t="s">
        <v>58</v>
      </c>
    </row>
    <row r="8" spans="1:18" ht="15" thickBot="1" x14ac:dyDescent="0.35">
      <c r="A8" s="2" t="s">
        <v>18</v>
      </c>
      <c r="B8" s="2" t="s">
        <v>19</v>
      </c>
      <c r="C8" s="2" t="s">
        <v>10</v>
      </c>
      <c r="D8" s="2" t="s">
        <v>37</v>
      </c>
      <c r="E8" s="3">
        <v>43439</v>
      </c>
      <c r="F8" s="2"/>
      <c r="G8" s="2">
        <v>42</v>
      </c>
      <c r="H8" s="2" t="s">
        <v>38</v>
      </c>
      <c r="I8" s="2" t="s">
        <v>39</v>
      </c>
      <c r="J8" s="2" t="s">
        <v>52</v>
      </c>
      <c r="K8" s="2" t="s">
        <v>78</v>
      </c>
      <c r="L8" s="4">
        <v>2300000</v>
      </c>
      <c r="M8" s="4">
        <v>350000</v>
      </c>
      <c r="N8" s="2">
        <v>5</v>
      </c>
      <c r="O8" s="2">
        <v>7</v>
      </c>
      <c r="P8" s="2" t="s">
        <v>42</v>
      </c>
      <c r="Q8" s="2" t="s">
        <v>53</v>
      </c>
      <c r="R8" s="2"/>
    </row>
    <row r="9" spans="1:18" ht="15" hidden="1" thickBot="1" x14ac:dyDescent="0.35">
      <c r="A9" s="2" t="s">
        <v>20</v>
      </c>
      <c r="B9" s="2" t="s">
        <v>21</v>
      </c>
      <c r="C9" s="2" t="s">
        <v>13</v>
      </c>
      <c r="D9" s="2" t="s">
        <v>81</v>
      </c>
      <c r="E9" s="2" t="s">
        <v>59</v>
      </c>
      <c r="F9" s="2"/>
      <c r="G9" s="2">
        <v>31</v>
      </c>
      <c r="H9" s="2" t="s">
        <v>46</v>
      </c>
      <c r="I9" s="2" t="s">
        <v>39</v>
      </c>
      <c r="J9" s="2" t="s">
        <v>40</v>
      </c>
      <c r="K9" s="2" t="s">
        <v>82</v>
      </c>
      <c r="L9" s="4">
        <v>1400000</v>
      </c>
      <c r="M9" s="4">
        <v>140000</v>
      </c>
      <c r="N9" s="2">
        <v>4</v>
      </c>
      <c r="O9" s="2">
        <v>2</v>
      </c>
      <c r="P9" s="2" t="s">
        <v>42</v>
      </c>
      <c r="Q9" s="2" t="s">
        <v>54</v>
      </c>
      <c r="R9" s="2"/>
    </row>
    <row r="10" spans="1:18" ht="15" thickBot="1" x14ac:dyDescent="0.35">
      <c r="A10" s="2" t="s">
        <v>60</v>
      </c>
      <c r="B10" s="2" t="s">
        <v>61</v>
      </c>
      <c r="C10" s="2" t="s">
        <v>62</v>
      </c>
      <c r="D10" s="2" t="s">
        <v>63</v>
      </c>
      <c r="E10" s="3">
        <v>43832</v>
      </c>
      <c r="F10" s="3">
        <v>45293</v>
      </c>
      <c r="G10" s="2">
        <v>38</v>
      </c>
      <c r="H10" s="2" t="s">
        <v>38</v>
      </c>
      <c r="I10" s="2" t="s">
        <v>39</v>
      </c>
      <c r="J10" s="2" t="s">
        <v>64</v>
      </c>
      <c r="K10" s="2" t="s">
        <v>78</v>
      </c>
      <c r="L10" s="4">
        <v>2500000</v>
      </c>
      <c r="M10" s="4">
        <v>400000</v>
      </c>
      <c r="N10" s="2">
        <v>5</v>
      </c>
      <c r="O10" s="2">
        <v>4</v>
      </c>
      <c r="P10" s="2" t="s">
        <v>48</v>
      </c>
      <c r="Q10" s="2" t="s">
        <v>65</v>
      </c>
      <c r="R10" s="2" t="s">
        <v>84</v>
      </c>
    </row>
    <row r="11" spans="1:18" ht="15" hidden="1" thickBot="1" x14ac:dyDescent="0.35">
      <c r="A11" s="2" t="s">
        <v>66</v>
      </c>
      <c r="B11" s="2" t="s">
        <v>67</v>
      </c>
      <c r="C11" s="2" t="s">
        <v>4</v>
      </c>
      <c r="D11" s="2" t="s">
        <v>79</v>
      </c>
      <c r="E11" s="3">
        <v>44480</v>
      </c>
      <c r="F11" s="2"/>
      <c r="G11" s="2">
        <v>29</v>
      </c>
      <c r="H11" s="2" t="s">
        <v>46</v>
      </c>
      <c r="I11" s="2" t="s">
        <v>51</v>
      </c>
      <c r="J11" s="2" t="s">
        <v>40</v>
      </c>
      <c r="K11" s="2" t="s">
        <v>85</v>
      </c>
      <c r="L11" s="4">
        <v>850000</v>
      </c>
      <c r="M11" s="4">
        <v>70000</v>
      </c>
      <c r="N11" s="2">
        <v>4</v>
      </c>
      <c r="O11" s="2">
        <v>3</v>
      </c>
      <c r="P11" s="2" t="s">
        <v>42</v>
      </c>
      <c r="Q11" s="2" t="s">
        <v>43</v>
      </c>
      <c r="R11" s="2"/>
    </row>
    <row r="12" spans="1:18" ht="15" thickBot="1" x14ac:dyDescent="0.35">
      <c r="A12" s="2" t="s">
        <v>69</v>
      </c>
      <c r="B12" s="2" t="s">
        <v>70</v>
      </c>
      <c r="C12" s="2" t="s">
        <v>7</v>
      </c>
      <c r="D12" s="2" t="s">
        <v>68</v>
      </c>
      <c r="E12" s="3">
        <v>43591</v>
      </c>
      <c r="F12" s="3">
        <v>45052</v>
      </c>
      <c r="G12" s="2">
        <v>36</v>
      </c>
      <c r="H12" s="2" t="s">
        <v>38</v>
      </c>
      <c r="I12" s="2" t="s">
        <v>39</v>
      </c>
      <c r="J12" s="2" t="s">
        <v>40</v>
      </c>
      <c r="K12" s="2" t="s">
        <v>82</v>
      </c>
      <c r="L12" s="4">
        <v>1600000</v>
      </c>
      <c r="M12" s="4">
        <v>210000</v>
      </c>
      <c r="N12" s="2">
        <v>4</v>
      </c>
      <c r="O12" s="2">
        <v>5</v>
      </c>
      <c r="P12" s="2" t="s">
        <v>48</v>
      </c>
      <c r="Q12" s="2" t="s">
        <v>49</v>
      </c>
      <c r="R12" s="2" t="s">
        <v>86</v>
      </c>
    </row>
    <row r="13" spans="1:18" ht="15" thickBot="1" x14ac:dyDescent="0.35">
      <c r="A13" s="2" t="s">
        <v>71</v>
      </c>
      <c r="B13" s="2" t="s">
        <v>73</v>
      </c>
      <c r="C13" s="2" t="s">
        <v>10</v>
      </c>
      <c r="D13" s="2" t="s">
        <v>37</v>
      </c>
      <c r="E13" s="3">
        <v>44927</v>
      </c>
      <c r="F13" s="2"/>
      <c r="G13" s="2">
        <v>27</v>
      </c>
      <c r="H13" s="2" t="s">
        <v>38</v>
      </c>
      <c r="I13" s="2" t="s">
        <v>51</v>
      </c>
      <c r="J13" s="2" t="s">
        <v>52</v>
      </c>
      <c r="K13" s="2" t="s">
        <v>85</v>
      </c>
      <c r="L13" s="4">
        <v>700000</v>
      </c>
      <c r="M13" s="4">
        <v>50000</v>
      </c>
      <c r="N13" s="2">
        <v>4</v>
      </c>
      <c r="O13" s="2">
        <v>1</v>
      </c>
      <c r="P13" s="2" t="s">
        <v>42</v>
      </c>
      <c r="Q13" s="2" t="s">
        <v>53</v>
      </c>
      <c r="R13" s="2"/>
    </row>
    <row r="14" spans="1:18" ht="15" hidden="1" thickBot="1" x14ac:dyDescent="0.35">
      <c r="A14" s="2" t="s">
        <v>72</v>
      </c>
      <c r="B14" s="2" t="s">
        <v>75</v>
      </c>
      <c r="C14" s="2" t="s">
        <v>13</v>
      </c>
      <c r="D14" s="2" t="s">
        <v>81</v>
      </c>
      <c r="E14" s="3">
        <v>44208</v>
      </c>
      <c r="F14" s="2"/>
      <c r="G14" s="2">
        <v>30</v>
      </c>
      <c r="H14" s="2" t="s">
        <v>46</v>
      </c>
      <c r="I14" s="2" t="s">
        <v>39</v>
      </c>
      <c r="J14" s="2" t="s">
        <v>40</v>
      </c>
      <c r="K14" s="2" t="s">
        <v>80</v>
      </c>
      <c r="L14" s="4">
        <v>1500000</v>
      </c>
      <c r="M14" s="4">
        <v>160000</v>
      </c>
      <c r="N14" s="2">
        <v>4</v>
      </c>
      <c r="O14" s="2">
        <v>3</v>
      </c>
      <c r="P14" s="2" t="s">
        <v>42</v>
      </c>
      <c r="Q14" s="2" t="s">
        <v>54</v>
      </c>
      <c r="R14" s="2"/>
    </row>
    <row r="15" spans="1:18" ht="15" thickBot="1" x14ac:dyDescent="0.35">
      <c r="A15" s="2" t="s">
        <v>74</v>
      </c>
      <c r="B15" s="2" t="s">
        <v>77</v>
      </c>
      <c r="C15" s="2" t="s">
        <v>62</v>
      </c>
      <c r="D15" s="2" t="s">
        <v>63</v>
      </c>
      <c r="E15" s="3">
        <v>44562</v>
      </c>
      <c r="F15" s="2"/>
      <c r="G15" s="2">
        <v>28</v>
      </c>
      <c r="H15" s="2" t="s">
        <v>38</v>
      </c>
      <c r="I15" s="2" t="s">
        <v>51</v>
      </c>
      <c r="J15" s="2" t="s">
        <v>64</v>
      </c>
      <c r="K15" s="2" t="s">
        <v>87</v>
      </c>
      <c r="L15" s="4">
        <v>1000000</v>
      </c>
      <c r="M15" s="4">
        <v>90000</v>
      </c>
      <c r="N15" s="2">
        <v>4</v>
      </c>
      <c r="O15" s="2">
        <v>2</v>
      </c>
      <c r="P15" s="2" t="s">
        <v>42</v>
      </c>
      <c r="Q15" s="2" t="s">
        <v>65</v>
      </c>
      <c r="R15" s="2"/>
    </row>
    <row r="16" spans="1:18" ht="15" hidden="1" thickBot="1" x14ac:dyDescent="0.35">
      <c r="A16" s="2" t="s">
        <v>76</v>
      </c>
      <c r="B16" s="2" t="s">
        <v>88</v>
      </c>
      <c r="C16" s="2" t="s">
        <v>4</v>
      </c>
      <c r="D16" s="2" t="s">
        <v>68</v>
      </c>
      <c r="E16" s="3">
        <v>44929</v>
      </c>
      <c r="F16" s="3">
        <v>45294</v>
      </c>
      <c r="G16" s="2">
        <v>26</v>
      </c>
      <c r="H16" s="2" t="s">
        <v>46</v>
      </c>
      <c r="I16" s="2" t="s">
        <v>51</v>
      </c>
      <c r="J16" s="2" t="s">
        <v>40</v>
      </c>
      <c r="K16" s="2" t="s">
        <v>85</v>
      </c>
      <c r="L16" s="4">
        <v>800000</v>
      </c>
      <c r="M16" s="4">
        <v>60000</v>
      </c>
      <c r="N16" s="2">
        <v>3</v>
      </c>
      <c r="O16" s="2">
        <v>1</v>
      </c>
      <c r="P16" s="2" t="s">
        <v>48</v>
      </c>
      <c r="Q16" s="2" t="s">
        <v>43</v>
      </c>
      <c r="R16" s="2" t="s">
        <v>89</v>
      </c>
    </row>
    <row r="17" spans="1:18" ht="15" thickBot="1" x14ac:dyDescent="0.35">
      <c r="A17" s="2" t="s">
        <v>90</v>
      </c>
      <c r="B17" s="2" t="s">
        <v>91</v>
      </c>
      <c r="C17" s="2" t="s">
        <v>7</v>
      </c>
      <c r="D17" s="2" t="s">
        <v>81</v>
      </c>
      <c r="E17" s="3">
        <v>44836</v>
      </c>
      <c r="F17" s="2"/>
      <c r="G17" s="2">
        <v>32</v>
      </c>
      <c r="H17" s="2" t="s">
        <v>38</v>
      </c>
      <c r="I17" s="2" t="s">
        <v>39</v>
      </c>
      <c r="J17" s="2" t="s">
        <v>47</v>
      </c>
      <c r="K17" s="2" t="s">
        <v>87</v>
      </c>
      <c r="L17" s="4">
        <v>1050000</v>
      </c>
      <c r="M17" s="4">
        <v>100000</v>
      </c>
      <c r="N17" s="2">
        <v>4</v>
      </c>
      <c r="O17" s="2">
        <v>2</v>
      </c>
      <c r="P17" s="2" t="s">
        <v>42</v>
      </c>
      <c r="Q17" s="2" t="s">
        <v>49</v>
      </c>
      <c r="R17" s="2"/>
    </row>
    <row r="18" spans="1:18" ht="15" hidden="1" thickBot="1" x14ac:dyDescent="0.35">
      <c r="A18" s="2" t="s">
        <v>92</v>
      </c>
      <c r="B18" s="2" t="s">
        <v>93</v>
      </c>
      <c r="C18" s="2" t="s">
        <v>13</v>
      </c>
      <c r="D18" s="2" t="s">
        <v>37</v>
      </c>
      <c r="E18" s="2" t="s">
        <v>94</v>
      </c>
      <c r="F18" s="2"/>
      <c r="G18" s="2">
        <v>29</v>
      </c>
      <c r="H18" s="2" t="s">
        <v>46</v>
      </c>
      <c r="I18" s="2" t="s">
        <v>39</v>
      </c>
      <c r="J18" s="2" t="s">
        <v>40</v>
      </c>
      <c r="K18" s="2" t="s">
        <v>85</v>
      </c>
      <c r="L18" s="4">
        <v>780000</v>
      </c>
      <c r="M18" s="4">
        <v>55000</v>
      </c>
      <c r="N18" s="2">
        <v>3</v>
      </c>
      <c r="O18" s="2">
        <v>3</v>
      </c>
      <c r="P18" s="2" t="s">
        <v>42</v>
      </c>
      <c r="Q18" s="2" t="s">
        <v>54</v>
      </c>
      <c r="R18" s="2"/>
    </row>
    <row r="19" spans="1:18" ht="15" thickBot="1" x14ac:dyDescent="0.35">
      <c r="A19" s="2" t="s">
        <v>95</v>
      </c>
      <c r="B19" s="2" t="s">
        <v>96</v>
      </c>
      <c r="C19" s="2" t="s">
        <v>62</v>
      </c>
      <c r="D19" s="2" t="s">
        <v>79</v>
      </c>
      <c r="E19" s="3">
        <v>43834</v>
      </c>
      <c r="F19" s="3">
        <v>45295</v>
      </c>
      <c r="G19" s="2">
        <v>31</v>
      </c>
      <c r="H19" s="2" t="s">
        <v>38</v>
      </c>
      <c r="I19" s="2" t="s">
        <v>51</v>
      </c>
      <c r="J19" s="2" t="s">
        <v>64</v>
      </c>
      <c r="K19" s="2" t="s">
        <v>80</v>
      </c>
      <c r="L19" s="4">
        <v>1700000</v>
      </c>
      <c r="M19" s="4">
        <v>185000</v>
      </c>
      <c r="N19" s="2">
        <v>4</v>
      </c>
      <c r="O19" s="2">
        <v>4</v>
      </c>
      <c r="P19" s="2" t="s">
        <v>48</v>
      </c>
      <c r="Q19" s="2" t="s">
        <v>65</v>
      </c>
      <c r="R19" s="2" t="s">
        <v>50</v>
      </c>
    </row>
    <row r="20" spans="1:18" ht="15" thickBot="1" x14ac:dyDescent="0.35">
      <c r="A20" s="2" t="s">
        <v>97</v>
      </c>
      <c r="B20" s="2" t="s">
        <v>98</v>
      </c>
      <c r="C20" s="2" t="s">
        <v>10</v>
      </c>
      <c r="D20" s="2" t="s">
        <v>37</v>
      </c>
      <c r="E20" s="3">
        <v>43805</v>
      </c>
      <c r="F20" s="3">
        <v>45266</v>
      </c>
      <c r="G20" s="2">
        <v>39</v>
      </c>
      <c r="H20" s="2" t="s">
        <v>38</v>
      </c>
      <c r="I20" s="2" t="s">
        <v>39</v>
      </c>
      <c r="J20" s="2" t="s">
        <v>52</v>
      </c>
      <c r="K20" s="2" t="s">
        <v>82</v>
      </c>
      <c r="L20" s="4">
        <v>1800000</v>
      </c>
      <c r="M20" s="4">
        <v>210000</v>
      </c>
      <c r="N20" s="2">
        <v>5</v>
      </c>
      <c r="O20" s="2">
        <v>4</v>
      </c>
      <c r="P20" s="2" t="s">
        <v>48</v>
      </c>
      <c r="Q20" s="2" t="s">
        <v>53</v>
      </c>
      <c r="R20" s="2" t="s">
        <v>84</v>
      </c>
    </row>
    <row r="21" spans="1:18" ht="15" hidden="1" thickBot="1" x14ac:dyDescent="0.35">
      <c r="A21" s="2" t="s">
        <v>99</v>
      </c>
      <c r="B21" s="2" t="s">
        <v>100</v>
      </c>
      <c r="C21" s="2" t="s">
        <v>4</v>
      </c>
      <c r="D21" s="2" t="s">
        <v>81</v>
      </c>
      <c r="E21" s="2" t="s">
        <v>101</v>
      </c>
      <c r="F21" s="2"/>
      <c r="G21" s="2">
        <v>34</v>
      </c>
      <c r="H21" s="2" t="s">
        <v>46</v>
      </c>
      <c r="I21" s="2" t="s">
        <v>39</v>
      </c>
      <c r="J21" s="2" t="s">
        <v>40</v>
      </c>
      <c r="K21" s="2" t="s">
        <v>87</v>
      </c>
      <c r="L21" s="4">
        <v>1050000</v>
      </c>
      <c r="M21" s="4">
        <v>100000</v>
      </c>
      <c r="N21" s="2">
        <v>4</v>
      </c>
      <c r="O21" s="2">
        <v>4</v>
      </c>
      <c r="P21" s="2" t="s">
        <v>42</v>
      </c>
      <c r="Q21" s="2" t="s">
        <v>43</v>
      </c>
      <c r="R21" s="2"/>
    </row>
    <row r="22" spans="1:18" ht="15" thickBot="1" x14ac:dyDescent="0.35">
      <c r="A22" s="2" t="s">
        <v>102</v>
      </c>
      <c r="B22" s="2" t="s">
        <v>103</v>
      </c>
      <c r="C22" s="2" t="s">
        <v>7</v>
      </c>
      <c r="D22" s="2" t="s">
        <v>79</v>
      </c>
      <c r="E22" s="3">
        <v>44204</v>
      </c>
      <c r="F22" s="3">
        <v>44934</v>
      </c>
      <c r="G22" s="2">
        <v>30</v>
      </c>
      <c r="H22" s="2" t="s">
        <v>38</v>
      </c>
      <c r="I22" s="2" t="s">
        <v>51</v>
      </c>
      <c r="J22" s="2" t="s">
        <v>47</v>
      </c>
      <c r="K22" s="2" t="s">
        <v>85</v>
      </c>
      <c r="L22" s="4">
        <v>800000</v>
      </c>
      <c r="M22" s="4">
        <v>60000</v>
      </c>
      <c r="N22" s="2">
        <v>3</v>
      </c>
      <c r="O22" s="2">
        <v>3</v>
      </c>
      <c r="P22" s="2" t="s">
        <v>48</v>
      </c>
      <c r="Q22" s="2" t="s">
        <v>49</v>
      </c>
      <c r="R22" s="2" t="s">
        <v>86</v>
      </c>
    </row>
    <row r="23" spans="1:18" ht="15" hidden="1" thickBot="1" x14ac:dyDescent="0.35">
      <c r="A23" s="2" t="s">
        <v>104</v>
      </c>
      <c r="B23" s="2" t="s">
        <v>105</v>
      </c>
      <c r="C23" s="2" t="s">
        <v>13</v>
      </c>
      <c r="D23" s="2" t="s">
        <v>37</v>
      </c>
      <c r="E23" s="3">
        <v>44843</v>
      </c>
      <c r="F23" s="2"/>
      <c r="G23" s="2">
        <v>27</v>
      </c>
      <c r="H23" s="2" t="s">
        <v>46</v>
      </c>
      <c r="I23" s="2" t="s">
        <v>51</v>
      </c>
      <c r="J23" s="2" t="s">
        <v>40</v>
      </c>
      <c r="K23" s="2" t="s">
        <v>85</v>
      </c>
      <c r="L23" s="4">
        <v>780000</v>
      </c>
      <c r="M23" s="4">
        <v>55000</v>
      </c>
      <c r="N23" s="2">
        <v>4</v>
      </c>
      <c r="O23" s="2">
        <v>2</v>
      </c>
      <c r="P23" s="2" t="s">
        <v>42</v>
      </c>
      <c r="Q23" s="2" t="s">
        <v>54</v>
      </c>
      <c r="R23" s="2"/>
    </row>
    <row r="24" spans="1:18" ht="15" thickBot="1" x14ac:dyDescent="0.35">
      <c r="A24" s="2" t="s">
        <v>106</v>
      </c>
      <c r="B24" s="2" t="s">
        <v>107</v>
      </c>
      <c r="C24" s="2" t="s">
        <v>62</v>
      </c>
      <c r="D24" s="2" t="s">
        <v>79</v>
      </c>
      <c r="E24" s="3">
        <v>43840</v>
      </c>
      <c r="F24" s="2"/>
      <c r="G24" s="2">
        <v>36</v>
      </c>
      <c r="H24" s="2" t="s">
        <v>38</v>
      </c>
      <c r="I24" s="2" t="s">
        <v>39</v>
      </c>
      <c r="J24" s="2" t="s">
        <v>64</v>
      </c>
      <c r="K24" s="2" t="s">
        <v>80</v>
      </c>
      <c r="L24" s="4">
        <v>1750000</v>
      </c>
      <c r="M24" s="4">
        <v>190000</v>
      </c>
      <c r="N24" s="2">
        <v>5</v>
      </c>
      <c r="O24" s="2">
        <v>3</v>
      </c>
      <c r="P24" s="2" t="s">
        <v>42</v>
      </c>
      <c r="Q24" s="2" t="s">
        <v>65</v>
      </c>
      <c r="R24" s="2"/>
    </row>
    <row r="25" spans="1:18" ht="15" hidden="1" thickBot="1" x14ac:dyDescent="0.35">
      <c r="A25" s="2" t="s">
        <v>108</v>
      </c>
      <c r="B25" s="2" t="s">
        <v>109</v>
      </c>
      <c r="C25" s="2" t="s">
        <v>10</v>
      </c>
      <c r="D25" s="2" t="s">
        <v>68</v>
      </c>
      <c r="E25" s="3">
        <v>44207</v>
      </c>
      <c r="F25" s="3">
        <v>44937</v>
      </c>
      <c r="G25" s="2">
        <v>29</v>
      </c>
      <c r="H25" s="2" t="s">
        <v>46</v>
      </c>
      <c r="I25" s="2" t="s">
        <v>51</v>
      </c>
      <c r="J25" s="2" t="s">
        <v>52</v>
      </c>
      <c r="K25" s="2" t="s">
        <v>87</v>
      </c>
      <c r="L25" s="4">
        <v>1000000</v>
      </c>
      <c r="M25" s="4">
        <v>90000</v>
      </c>
      <c r="N25" s="2">
        <v>4</v>
      </c>
      <c r="O25" s="2">
        <v>2</v>
      </c>
      <c r="P25" s="2" t="s">
        <v>48</v>
      </c>
      <c r="Q25" s="2" t="s">
        <v>53</v>
      </c>
      <c r="R25" s="2" t="s">
        <v>83</v>
      </c>
    </row>
    <row r="26" spans="1:18" x14ac:dyDescent="0.3">
      <c r="A26" s="5" t="s">
        <v>110</v>
      </c>
      <c r="B26" s="5" t="s">
        <v>111</v>
      </c>
      <c r="C26" s="5" t="s">
        <v>4</v>
      </c>
      <c r="D26" s="5" t="s">
        <v>63</v>
      </c>
      <c r="E26" s="6">
        <v>43963</v>
      </c>
      <c r="F26" s="5"/>
      <c r="G26" s="5">
        <v>31</v>
      </c>
      <c r="H26" s="5" t="s">
        <v>38</v>
      </c>
      <c r="I26" s="5" t="s">
        <v>39</v>
      </c>
      <c r="J26" s="5" t="s">
        <v>40</v>
      </c>
      <c r="K26" s="5" t="s">
        <v>80</v>
      </c>
      <c r="L26" s="7">
        <v>1600000</v>
      </c>
      <c r="M26" s="7">
        <v>175000</v>
      </c>
      <c r="N26" s="5">
        <v>4</v>
      </c>
      <c r="O26" s="5">
        <v>4</v>
      </c>
      <c r="P26" s="5" t="s">
        <v>42</v>
      </c>
      <c r="Q26" s="5" t="s">
        <v>43</v>
      </c>
      <c r="R26"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3717-CF9B-403B-9EDF-11BD378EA641}">
  <dimension ref="A16:G24"/>
  <sheetViews>
    <sheetView showGridLines="0" workbookViewId="0">
      <selection activeCell="C14" sqref="C14"/>
    </sheetView>
  </sheetViews>
  <sheetFormatPr defaultRowHeight="14.4" x14ac:dyDescent="0.3"/>
  <cols>
    <col min="1" max="1" width="19.88671875" bestFit="1" customWidth="1"/>
    <col min="2" max="2" width="15.5546875" bestFit="1" customWidth="1"/>
    <col min="3" max="3" width="3.44140625" bestFit="1" customWidth="1"/>
    <col min="4" max="4" width="2.44140625" bestFit="1" customWidth="1"/>
    <col min="5" max="5" width="9.21875" bestFit="1" customWidth="1"/>
    <col min="6" max="6" width="5.5546875" bestFit="1" customWidth="1"/>
    <col min="7" max="7" width="10.5546875" bestFit="1" customWidth="1"/>
    <col min="8" max="8" width="9.21875" bestFit="1" customWidth="1"/>
    <col min="9" max="9" width="5.5546875" bestFit="1" customWidth="1"/>
    <col min="10" max="10" width="10.5546875" bestFit="1" customWidth="1"/>
    <col min="11" max="11" width="15.33203125" bestFit="1" customWidth="1"/>
    <col min="12" max="12" width="21.44140625" bestFit="1" customWidth="1"/>
    <col min="13" max="13" width="15.33203125" bestFit="1" customWidth="1"/>
    <col min="14" max="14" width="21.44140625" bestFit="1" customWidth="1"/>
    <col min="15" max="15" width="19.88671875" bestFit="1" customWidth="1"/>
    <col min="16" max="16" width="26" bestFit="1" customWidth="1"/>
    <col min="17" max="20" width="5" bestFit="1" customWidth="1"/>
    <col min="21" max="21" width="6.88671875" bestFit="1" customWidth="1"/>
    <col min="22" max="22" width="10.88671875" bestFit="1" customWidth="1"/>
    <col min="23" max="26" width="5" bestFit="1" customWidth="1"/>
    <col min="27" max="27" width="13.77734375" bestFit="1" customWidth="1"/>
    <col min="28" max="28" width="7.21875" bestFit="1" customWidth="1"/>
    <col min="29" max="33" width="5" bestFit="1" customWidth="1"/>
    <col min="34" max="34" width="10" bestFit="1" customWidth="1"/>
    <col min="35" max="59" width="10.21875" bestFit="1" customWidth="1"/>
    <col min="60" max="60" width="10.5546875" bestFit="1" customWidth="1"/>
  </cols>
  <sheetData>
    <row r="16" spans="1:2" x14ac:dyDescent="0.3">
      <c r="A16" s="13" t="s">
        <v>116</v>
      </c>
      <c r="B16" s="9" t="s">
        <v>115</v>
      </c>
    </row>
    <row r="17" spans="1:7" x14ac:dyDescent="0.3">
      <c r="A17" s="9" t="s">
        <v>113</v>
      </c>
      <c r="B17" t="s">
        <v>10</v>
      </c>
      <c r="C17" t="s">
        <v>13</v>
      </c>
      <c r="D17" t="s">
        <v>62</v>
      </c>
      <c r="E17" t="s">
        <v>7</v>
      </c>
      <c r="F17" t="s">
        <v>4</v>
      </c>
      <c r="G17" t="s">
        <v>114</v>
      </c>
    </row>
    <row r="18" spans="1:7" x14ac:dyDescent="0.3">
      <c r="A18" s="10" t="s">
        <v>50</v>
      </c>
      <c r="B18" s="12"/>
      <c r="C18" s="12"/>
      <c r="D18" s="12">
        <v>1</v>
      </c>
      <c r="E18" s="12">
        <v>1</v>
      </c>
      <c r="F18" s="12"/>
      <c r="G18" s="12">
        <v>2</v>
      </c>
    </row>
    <row r="19" spans="1:7" x14ac:dyDescent="0.3">
      <c r="A19" s="10" t="s">
        <v>86</v>
      </c>
      <c r="B19" s="12"/>
      <c r="C19" s="12"/>
      <c r="D19" s="12"/>
      <c r="E19" s="12">
        <v>2</v>
      </c>
      <c r="F19" s="12"/>
      <c r="G19" s="12">
        <v>2</v>
      </c>
    </row>
    <row r="20" spans="1:7" x14ac:dyDescent="0.3">
      <c r="A20" s="10" t="s">
        <v>89</v>
      </c>
      <c r="B20" s="12"/>
      <c r="C20" s="12"/>
      <c r="D20" s="12"/>
      <c r="E20" s="12"/>
      <c r="F20" s="12">
        <v>1</v>
      </c>
      <c r="G20" s="12">
        <v>1</v>
      </c>
    </row>
    <row r="21" spans="1:7" x14ac:dyDescent="0.3">
      <c r="A21" s="10" t="s">
        <v>83</v>
      </c>
      <c r="B21" s="12">
        <v>1</v>
      </c>
      <c r="C21" s="12">
        <v>1</v>
      </c>
      <c r="D21" s="12"/>
      <c r="E21" s="12"/>
      <c r="F21" s="12"/>
      <c r="G21" s="12">
        <v>2</v>
      </c>
    </row>
    <row r="22" spans="1:7" x14ac:dyDescent="0.3">
      <c r="A22" s="10" t="s">
        <v>58</v>
      </c>
      <c r="B22" s="12"/>
      <c r="C22" s="12"/>
      <c r="D22" s="12"/>
      <c r="E22" s="12">
        <v>1</v>
      </c>
      <c r="F22" s="12"/>
      <c r="G22" s="12">
        <v>1</v>
      </c>
    </row>
    <row r="23" spans="1:7" x14ac:dyDescent="0.3">
      <c r="A23" s="10" t="s">
        <v>84</v>
      </c>
      <c r="B23" s="12">
        <v>1</v>
      </c>
      <c r="C23" s="12"/>
      <c r="D23" s="12">
        <v>1</v>
      </c>
      <c r="E23" s="12"/>
      <c r="F23" s="12"/>
      <c r="G23" s="12">
        <v>2</v>
      </c>
    </row>
    <row r="24" spans="1:7" x14ac:dyDescent="0.3">
      <c r="A24" s="10" t="s">
        <v>114</v>
      </c>
      <c r="B24" s="12">
        <v>2</v>
      </c>
      <c r="C24" s="12">
        <v>1</v>
      </c>
      <c r="D24" s="12">
        <v>2</v>
      </c>
      <c r="E24" s="12">
        <v>4</v>
      </c>
      <c r="F24" s="12">
        <v>1</v>
      </c>
      <c r="G24" s="12">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D871-B6EE-4DB6-A5BE-35331D6B0F74}">
  <dimension ref="A1:R11"/>
  <sheetViews>
    <sheetView zoomScaleNormal="100" workbookViewId="0">
      <pane xSplit="2" ySplit="1" topLeftCell="C2" activePane="bottomRight" state="frozen"/>
      <selection pane="topRight" activeCell="C1" sqref="C1"/>
      <selection pane="bottomLeft" activeCell="A2" sqref="A2"/>
      <selection pane="bottomRight" activeCell="H15" sqref="H15"/>
    </sheetView>
  </sheetViews>
  <sheetFormatPr defaultRowHeight="14.4" x14ac:dyDescent="0.3"/>
  <cols>
    <col min="1" max="1" width="7.109375" style="21" bestFit="1" customWidth="1"/>
    <col min="2" max="2" width="12.33203125" style="23" bestFit="1" customWidth="1"/>
    <col min="3" max="3" width="13.109375" style="21" customWidth="1"/>
    <col min="4" max="4" width="15" style="21" customWidth="1"/>
    <col min="5" max="5" width="12.88671875" style="21" customWidth="1"/>
    <col min="6" max="6" width="15" style="21" customWidth="1"/>
    <col min="7" max="7" width="10" style="21" customWidth="1"/>
    <col min="8" max="8" width="7.109375" style="21" bestFit="1" customWidth="1"/>
    <col min="9" max="9" width="12.77734375" style="21" bestFit="1" customWidth="1"/>
    <col min="10" max="10" width="15.21875" style="21" customWidth="1"/>
    <col min="11" max="11" width="21.33203125" style="21" customWidth="1"/>
    <col min="12" max="13" width="11.109375" style="21" bestFit="1" customWidth="1"/>
    <col min="14" max="14" width="10.88671875" style="21" bestFit="1" customWidth="1"/>
    <col min="15" max="15" width="11.33203125" style="21" bestFit="1" customWidth="1"/>
    <col min="16" max="16" width="6.33203125" style="21" bestFit="1" customWidth="1"/>
    <col min="17" max="17" width="14.21875" style="21" bestFit="1" customWidth="1"/>
    <col min="18" max="18" width="15.5546875" style="21" bestFit="1" customWidth="1"/>
    <col min="19" max="16384" width="8.88671875" style="21"/>
  </cols>
  <sheetData>
    <row r="1" spans="1:18" s="17" customFormat="1" x14ac:dyDescent="0.3">
      <c r="A1" s="16" t="s">
        <v>22</v>
      </c>
      <c r="B1" s="16" t="s">
        <v>0</v>
      </c>
      <c r="C1" s="16" t="s">
        <v>23</v>
      </c>
      <c r="D1" s="16" t="s">
        <v>24</v>
      </c>
      <c r="E1" s="16" t="s">
        <v>25</v>
      </c>
      <c r="F1" s="16" t="s">
        <v>26</v>
      </c>
      <c r="G1" s="16" t="s">
        <v>27</v>
      </c>
      <c r="H1" s="16" t="s">
        <v>28</v>
      </c>
      <c r="I1" s="16" t="s">
        <v>29</v>
      </c>
      <c r="J1" s="16" t="s">
        <v>30</v>
      </c>
      <c r="K1" s="16" t="s">
        <v>31</v>
      </c>
      <c r="L1" s="16" t="s">
        <v>1</v>
      </c>
      <c r="M1" s="16" t="s">
        <v>32</v>
      </c>
      <c r="N1" s="16" t="s">
        <v>33</v>
      </c>
      <c r="O1" s="16" t="s">
        <v>34</v>
      </c>
      <c r="P1" s="16" t="s">
        <v>112</v>
      </c>
      <c r="Q1" s="16" t="s">
        <v>35</v>
      </c>
      <c r="R1" s="16" t="s">
        <v>36</v>
      </c>
    </row>
    <row r="2" spans="1:18" x14ac:dyDescent="0.3">
      <c r="A2" s="18" t="s">
        <v>5</v>
      </c>
      <c r="B2" s="19" t="s">
        <v>6</v>
      </c>
      <c r="C2" s="18" t="s">
        <v>7</v>
      </c>
      <c r="D2" s="18" t="s">
        <v>79</v>
      </c>
      <c r="E2" s="18" t="s">
        <v>44</v>
      </c>
      <c r="F2" s="18" t="s">
        <v>45</v>
      </c>
      <c r="G2" s="18">
        <v>35</v>
      </c>
      <c r="H2" s="18" t="s">
        <v>46</v>
      </c>
      <c r="I2" s="18" t="s">
        <v>39</v>
      </c>
      <c r="J2" s="18" t="s">
        <v>47</v>
      </c>
      <c r="K2" s="18" t="s">
        <v>80</v>
      </c>
      <c r="L2" s="20">
        <v>1850000</v>
      </c>
      <c r="M2" s="20">
        <v>215000</v>
      </c>
      <c r="N2" s="18">
        <v>4</v>
      </c>
      <c r="O2" s="18">
        <v>4</v>
      </c>
      <c r="P2" s="18" t="s">
        <v>48</v>
      </c>
      <c r="Q2" s="18" t="s">
        <v>49</v>
      </c>
      <c r="R2" s="18" t="s">
        <v>50</v>
      </c>
    </row>
    <row r="3" spans="1:18" x14ac:dyDescent="0.3">
      <c r="A3" s="18" t="s">
        <v>11</v>
      </c>
      <c r="B3" s="19" t="s">
        <v>12</v>
      </c>
      <c r="C3" s="18" t="s">
        <v>13</v>
      </c>
      <c r="D3" s="18" t="s">
        <v>68</v>
      </c>
      <c r="E3" s="22">
        <v>44683</v>
      </c>
      <c r="F3" s="22">
        <v>45414</v>
      </c>
      <c r="G3" s="18">
        <v>28</v>
      </c>
      <c r="H3" s="18" t="s">
        <v>46</v>
      </c>
      <c r="I3" s="18" t="s">
        <v>51</v>
      </c>
      <c r="J3" s="18" t="s">
        <v>40</v>
      </c>
      <c r="K3" s="18" t="s">
        <v>41</v>
      </c>
      <c r="L3" s="20">
        <v>1100000</v>
      </c>
      <c r="M3" s="20">
        <v>110000</v>
      </c>
      <c r="N3" s="18">
        <v>3</v>
      </c>
      <c r="O3" s="18">
        <v>2</v>
      </c>
      <c r="P3" s="18" t="s">
        <v>48</v>
      </c>
      <c r="Q3" s="18" t="s">
        <v>54</v>
      </c>
      <c r="R3" s="18" t="s">
        <v>83</v>
      </c>
    </row>
    <row r="4" spans="1:18" x14ac:dyDescent="0.3">
      <c r="A4" s="18" t="s">
        <v>16</v>
      </c>
      <c r="B4" s="19" t="s">
        <v>17</v>
      </c>
      <c r="C4" s="18" t="s">
        <v>7</v>
      </c>
      <c r="D4" s="18" t="s">
        <v>63</v>
      </c>
      <c r="E4" s="18" t="s">
        <v>56</v>
      </c>
      <c r="F4" s="18" t="s">
        <v>57</v>
      </c>
      <c r="G4" s="18">
        <v>29</v>
      </c>
      <c r="H4" s="18" t="s">
        <v>46</v>
      </c>
      <c r="I4" s="18" t="s">
        <v>51</v>
      </c>
      <c r="J4" s="18" t="s">
        <v>47</v>
      </c>
      <c r="K4" s="18" t="s">
        <v>41</v>
      </c>
      <c r="L4" s="20">
        <v>1100000</v>
      </c>
      <c r="M4" s="20">
        <v>110000</v>
      </c>
      <c r="N4" s="18">
        <v>3</v>
      </c>
      <c r="O4" s="18">
        <v>3</v>
      </c>
      <c r="P4" s="18" t="s">
        <v>48</v>
      </c>
      <c r="Q4" s="18" t="s">
        <v>49</v>
      </c>
      <c r="R4" s="18" t="s">
        <v>58</v>
      </c>
    </row>
    <row r="5" spans="1:18" x14ac:dyDescent="0.3">
      <c r="A5" s="18" t="s">
        <v>60</v>
      </c>
      <c r="B5" s="19" t="s">
        <v>61</v>
      </c>
      <c r="C5" s="18" t="s">
        <v>62</v>
      </c>
      <c r="D5" s="18" t="s">
        <v>63</v>
      </c>
      <c r="E5" s="22">
        <v>43832</v>
      </c>
      <c r="F5" s="22">
        <v>45293</v>
      </c>
      <c r="G5" s="18">
        <v>38</v>
      </c>
      <c r="H5" s="18" t="s">
        <v>38</v>
      </c>
      <c r="I5" s="18" t="s">
        <v>39</v>
      </c>
      <c r="J5" s="18" t="s">
        <v>64</v>
      </c>
      <c r="K5" s="18" t="s">
        <v>78</v>
      </c>
      <c r="L5" s="20">
        <v>2500000</v>
      </c>
      <c r="M5" s="20">
        <v>400000</v>
      </c>
      <c r="N5" s="18">
        <v>5</v>
      </c>
      <c r="O5" s="18">
        <v>4</v>
      </c>
      <c r="P5" s="18" t="s">
        <v>48</v>
      </c>
      <c r="Q5" s="18" t="s">
        <v>65</v>
      </c>
      <c r="R5" s="18" t="s">
        <v>84</v>
      </c>
    </row>
    <row r="6" spans="1:18" ht="15" customHeight="1" x14ac:dyDescent="0.3">
      <c r="A6" s="18" t="s">
        <v>69</v>
      </c>
      <c r="B6" s="19" t="s">
        <v>70</v>
      </c>
      <c r="C6" s="18" t="s">
        <v>7</v>
      </c>
      <c r="D6" s="18" t="s">
        <v>68</v>
      </c>
      <c r="E6" s="22">
        <v>43591</v>
      </c>
      <c r="F6" s="22">
        <v>45052</v>
      </c>
      <c r="G6" s="18">
        <v>36</v>
      </c>
      <c r="H6" s="18" t="s">
        <v>38</v>
      </c>
      <c r="I6" s="18" t="s">
        <v>39</v>
      </c>
      <c r="J6" s="18" t="s">
        <v>40</v>
      </c>
      <c r="K6" s="18" t="s">
        <v>82</v>
      </c>
      <c r="L6" s="20">
        <v>1600000</v>
      </c>
      <c r="M6" s="20">
        <v>210000</v>
      </c>
      <c r="N6" s="18">
        <v>4</v>
      </c>
      <c r="O6" s="18">
        <v>5</v>
      </c>
      <c r="P6" s="18" t="s">
        <v>48</v>
      </c>
      <c r="Q6" s="18" t="s">
        <v>49</v>
      </c>
      <c r="R6" s="18" t="s">
        <v>86</v>
      </c>
    </row>
    <row r="7" spans="1:18" x14ac:dyDescent="0.3">
      <c r="A7" s="18" t="s">
        <v>76</v>
      </c>
      <c r="B7" s="19" t="s">
        <v>88</v>
      </c>
      <c r="C7" s="18" t="s">
        <v>4</v>
      </c>
      <c r="D7" s="18" t="s">
        <v>68</v>
      </c>
      <c r="E7" s="22">
        <v>44929</v>
      </c>
      <c r="F7" s="22">
        <v>45294</v>
      </c>
      <c r="G7" s="18">
        <v>26</v>
      </c>
      <c r="H7" s="18" t="s">
        <v>46</v>
      </c>
      <c r="I7" s="18" t="s">
        <v>51</v>
      </c>
      <c r="J7" s="18" t="s">
        <v>40</v>
      </c>
      <c r="K7" s="18" t="s">
        <v>85</v>
      </c>
      <c r="L7" s="20">
        <v>800000</v>
      </c>
      <c r="M7" s="20">
        <v>60000</v>
      </c>
      <c r="N7" s="18">
        <v>3</v>
      </c>
      <c r="O7" s="18">
        <v>1</v>
      </c>
      <c r="P7" s="18" t="s">
        <v>48</v>
      </c>
      <c r="Q7" s="18" t="s">
        <v>43</v>
      </c>
      <c r="R7" s="18" t="s">
        <v>89</v>
      </c>
    </row>
    <row r="8" spans="1:18" x14ac:dyDescent="0.3">
      <c r="A8" s="18" t="s">
        <v>95</v>
      </c>
      <c r="B8" s="19" t="s">
        <v>96</v>
      </c>
      <c r="C8" s="18" t="s">
        <v>62</v>
      </c>
      <c r="D8" s="18" t="s">
        <v>79</v>
      </c>
      <c r="E8" s="22">
        <v>43834</v>
      </c>
      <c r="F8" s="22">
        <v>45295</v>
      </c>
      <c r="G8" s="18">
        <v>31</v>
      </c>
      <c r="H8" s="18" t="s">
        <v>38</v>
      </c>
      <c r="I8" s="18" t="s">
        <v>51</v>
      </c>
      <c r="J8" s="18" t="s">
        <v>64</v>
      </c>
      <c r="K8" s="18" t="s">
        <v>80</v>
      </c>
      <c r="L8" s="20">
        <v>1700000</v>
      </c>
      <c r="M8" s="20">
        <v>185000</v>
      </c>
      <c r="N8" s="18">
        <v>4</v>
      </c>
      <c r="O8" s="18">
        <v>4</v>
      </c>
      <c r="P8" s="18" t="s">
        <v>48</v>
      </c>
      <c r="Q8" s="18" t="s">
        <v>65</v>
      </c>
      <c r="R8" s="18" t="s">
        <v>50</v>
      </c>
    </row>
    <row r="9" spans="1:18" x14ac:dyDescent="0.3">
      <c r="A9" s="18" t="s">
        <v>97</v>
      </c>
      <c r="B9" s="19" t="s">
        <v>98</v>
      </c>
      <c r="C9" s="18" t="s">
        <v>10</v>
      </c>
      <c r="D9" s="18" t="s">
        <v>37</v>
      </c>
      <c r="E9" s="22">
        <v>43805</v>
      </c>
      <c r="F9" s="22">
        <v>45266</v>
      </c>
      <c r="G9" s="18">
        <v>39</v>
      </c>
      <c r="H9" s="18" t="s">
        <v>38</v>
      </c>
      <c r="I9" s="18" t="s">
        <v>39</v>
      </c>
      <c r="J9" s="18" t="s">
        <v>52</v>
      </c>
      <c r="K9" s="18" t="s">
        <v>82</v>
      </c>
      <c r="L9" s="20">
        <v>1800000</v>
      </c>
      <c r="M9" s="20">
        <v>210000</v>
      </c>
      <c r="N9" s="18">
        <v>5</v>
      </c>
      <c r="O9" s="18">
        <v>4</v>
      </c>
      <c r="P9" s="18" t="s">
        <v>48</v>
      </c>
      <c r="Q9" s="18" t="s">
        <v>53</v>
      </c>
      <c r="R9" s="18" t="s">
        <v>84</v>
      </c>
    </row>
    <row r="10" spans="1:18" ht="15" customHeight="1" x14ac:dyDescent="0.3">
      <c r="A10" s="18" t="s">
        <v>102</v>
      </c>
      <c r="B10" s="19" t="s">
        <v>103</v>
      </c>
      <c r="C10" s="18" t="s">
        <v>7</v>
      </c>
      <c r="D10" s="18" t="s">
        <v>79</v>
      </c>
      <c r="E10" s="22">
        <v>44204</v>
      </c>
      <c r="F10" s="22">
        <v>44934</v>
      </c>
      <c r="G10" s="18">
        <v>30</v>
      </c>
      <c r="H10" s="18" t="s">
        <v>38</v>
      </c>
      <c r="I10" s="18" t="s">
        <v>51</v>
      </c>
      <c r="J10" s="18" t="s">
        <v>47</v>
      </c>
      <c r="K10" s="18" t="s">
        <v>85</v>
      </c>
      <c r="L10" s="20">
        <v>800000</v>
      </c>
      <c r="M10" s="20">
        <v>60000</v>
      </c>
      <c r="N10" s="18">
        <v>3</v>
      </c>
      <c r="O10" s="18">
        <v>3</v>
      </c>
      <c r="P10" s="18" t="s">
        <v>48</v>
      </c>
      <c r="Q10" s="18" t="s">
        <v>49</v>
      </c>
      <c r="R10" s="18" t="s">
        <v>86</v>
      </c>
    </row>
    <row r="11" spans="1:18" x14ac:dyDescent="0.3">
      <c r="A11" s="18" t="s">
        <v>108</v>
      </c>
      <c r="B11" s="19" t="s">
        <v>109</v>
      </c>
      <c r="C11" s="18" t="s">
        <v>10</v>
      </c>
      <c r="D11" s="18" t="s">
        <v>68</v>
      </c>
      <c r="E11" s="22">
        <v>44207</v>
      </c>
      <c r="F11" s="22">
        <v>44937</v>
      </c>
      <c r="G11" s="18">
        <v>29</v>
      </c>
      <c r="H11" s="18" t="s">
        <v>46</v>
      </c>
      <c r="I11" s="18" t="s">
        <v>51</v>
      </c>
      <c r="J11" s="18" t="s">
        <v>52</v>
      </c>
      <c r="K11" s="18" t="s">
        <v>87</v>
      </c>
      <c r="L11" s="20">
        <v>1000000</v>
      </c>
      <c r="M11" s="20">
        <v>90000</v>
      </c>
      <c r="N11" s="18">
        <v>4</v>
      </c>
      <c r="O11" s="18">
        <v>2</v>
      </c>
      <c r="P11" s="18" t="s">
        <v>48</v>
      </c>
      <c r="Q11" s="18" t="s">
        <v>53</v>
      </c>
      <c r="R11" s="18" t="s">
        <v>83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37B1-EB0C-4334-8FD0-FDEB3C0739F0}">
  <dimension ref="A1:D47"/>
  <sheetViews>
    <sheetView zoomScale="59" zoomScaleNormal="59" workbookViewId="0">
      <selection activeCell="H42" sqref="H42"/>
    </sheetView>
  </sheetViews>
  <sheetFormatPr defaultRowHeight="14.4" x14ac:dyDescent="0.3"/>
  <cols>
    <col min="1" max="1" width="12.44140625" bestFit="1" customWidth="1"/>
    <col min="2" max="2" width="14.109375" customWidth="1"/>
    <col min="3" max="3" width="13.109375" bestFit="1" customWidth="1"/>
    <col min="4" max="4" width="13.21875" customWidth="1"/>
    <col min="5" max="5" width="9.109375" bestFit="1" customWidth="1"/>
    <col min="6" max="6" width="9.33203125" bestFit="1" customWidth="1"/>
    <col min="7" max="7" width="19.6640625" bestFit="1" customWidth="1"/>
    <col min="8" max="10" width="8.109375" bestFit="1" customWidth="1"/>
    <col min="11" max="11" width="9.33203125" bestFit="1" customWidth="1"/>
    <col min="12" max="12" width="24.44140625" bestFit="1" customWidth="1"/>
    <col min="13" max="13" width="24.21875" bestFit="1" customWidth="1"/>
    <col min="14" max="26" width="10.33203125" bestFit="1" customWidth="1"/>
    <col min="27" max="27" width="10.6640625" bestFit="1" customWidth="1"/>
    <col min="28" max="50" width="17" bestFit="1" customWidth="1"/>
    <col min="51" max="51" width="21.6640625" bestFit="1" customWidth="1"/>
    <col min="52" max="52" width="21.44140625" bestFit="1" customWidth="1"/>
  </cols>
  <sheetData>
    <row r="1" spans="1:4" s="33" customFormat="1" ht="28.2" customHeight="1" x14ac:dyDescent="0.3">
      <c r="A1" s="30" t="s">
        <v>113</v>
      </c>
      <c r="B1" s="31" t="s">
        <v>117</v>
      </c>
      <c r="C1" s="32" t="s">
        <v>113</v>
      </c>
      <c r="D1" s="33" t="s">
        <v>118</v>
      </c>
    </row>
    <row r="2" spans="1:4" x14ac:dyDescent="0.3">
      <c r="A2" s="26" t="s">
        <v>79</v>
      </c>
      <c r="B2" s="27">
        <v>1390000</v>
      </c>
      <c r="C2" s="10" t="s">
        <v>79</v>
      </c>
      <c r="D2" s="24">
        <v>144000</v>
      </c>
    </row>
    <row r="3" spans="1:4" x14ac:dyDescent="0.3">
      <c r="A3" s="28" t="s">
        <v>62</v>
      </c>
      <c r="B3" s="27">
        <v>1725000</v>
      </c>
      <c r="C3" s="11" t="s">
        <v>62</v>
      </c>
      <c r="D3" s="24">
        <v>187500</v>
      </c>
    </row>
    <row r="4" spans="1:4" x14ac:dyDescent="0.3">
      <c r="A4" s="29" t="s">
        <v>80</v>
      </c>
      <c r="B4" s="27">
        <v>1725000</v>
      </c>
      <c r="C4" s="25" t="s">
        <v>80</v>
      </c>
      <c r="D4" s="24">
        <v>187500</v>
      </c>
    </row>
    <row r="5" spans="1:4" x14ac:dyDescent="0.3">
      <c r="A5" s="28" t="s">
        <v>7</v>
      </c>
      <c r="B5" s="27">
        <v>1325000</v>
      </c>
      <c r="C5" s="11" t="s">
        <v>7</v>
      </c>
      <c r="D5" s="24">
        <v>137500</v>
      </c>
    </row>
    <row r="6" spans="1:4" x14ac:dyDescent="0.3">
      <c r="A6" s="29" t="s">
        <v>80</v>
      </c>
      <c r="B6" s="27">
        <v>1850000</v>
      </c>
      <c r="C6" s="25" t="s">
        <v>80</v>
      </c>
      <c r="D6" s="24">
        <v>215000</v>
      </c>
    </row>
    <row r="7" spans="1:4" x14ac:dyDescent="0.3">
      <c r="A7" s="29" t="s">
        <v>85</v>
      </c>
      <c r="B7" s="27">
        <v>800000</v>
      </c>
      <c r="C7" s="25" t="s">
        <v>85</v>
      </c>
      <c r="D7" s="24">
        <v>60000</v>
      </c>
    </row>
    <row r="8" spans="1:4" x14ac:dyDescent="0.3">
      <c r="A8" s="28" t="s">
        <v>4</v>
      </c>
      <c r="B8" s="27">
        <v>850000</v>
      </c>
      <c r="C8" s="11" t="s">
        <v>4</v>
      </c>
      <c r="D8" s="24">
        <v>70000</v>
      </c>
    </row>
    <row r="9" spans="1:4" x14ac:dyDescent="0.3">
      <c r="A9" s="29" t="s">
        <v>85</v>
      </c>
      <c r="B9" s="27">
        <v>850000</v>
      </c>
      <c r="C9" s="25" t="s">
        <v>85</v>
      </c>
      <c r="D9" s="24">
        <v>70000</v>
      </c>
    </row>
    <row r="10" spans="1:4" x14ac:dyDescent="0.3">
      <c r="A10" s="26" t="s">
        <v>68</v>
      </c>
      <c r="B10" s="27">
        <v>1125000</v>
      </c>
      <c r="C10" s="10" t="s">
        <v>68</v>
      </c>
      <c r="D10" s="24">
        <v>117500</v>
      </c>
    </row>
    <row r="11" spans="1:4" x14ac:dyDescent="0.3">
      <c r="A11" s="28" t="s">
        <v>10</v>
      </c>
      <c r="B11" s="27">
        <v>1000000</v>
      </c>
      <c r="C11" s="11" t="s">
        <v>10</v>
      </c>
      <c r="D11" s="24">
        <v>90000</v>
      </c>
    </row>
    <row r="12" spans="1:4" x14ac:dyDescent="0.3">
      <c r="A12" s="29" t="s">
        <v>87</v>
      </c>
      <c r="B12" s="27">
        <v>1000000</v>
      </c>
      <c r="C12" s="25" t="s">
        <v>87</v>
      </c>
      <c r="D12" s="24">
        <v>90000</v>
      </c>
    </row>
    <row r="13" spans="1:4" x14ac:dyDescent="0.3">
      <c r="A13" s="28" t="s">
        <v>13</v>
      </c>
      <c r="B13" s="27">
        <v>1100000</v>
      </c>
      <c r="C13" s="11" t="s">
        <v>13</v>
      </c>
      <c r="D13" s="24">
        <v>110000</v>
      </c>
    </row>
    <row r="14" spans="1:4" x14ac:dyDescent="0.3">
      <c r="A14" s="29" t="s">
        <v>41</v>
      </c>
      <c r="B14" s="27">
        <v>1100000</v>
      </c>
      <c r="C14" s="25" t="s">
        <v>41</v>
      </c>
      <c r="D14" s="24">
        <v>110000</v>
      </c>
    </row>
    <row r="15" spans="1:4" x14ac:dyDescent="0.3">
      <c r="A15" s="28" t="s">
        <v>7</v>
      </c>
      <c r="B15" s="27">
        <v>1600000</v>
      </c>
      <c r="C15" s="11" t="s">
        <v>7</v>
      </c>
      <c r="D15" s="24">
        <v>210000</v>
      </c>
    </row>
    <row r="16" spans="1:4" x14ac:dyDescent="0.3">
      <c r="A16" s="29" t="s">
        <v>82</v>
      </c>
      <c r="B16" s="27">
        <v>1600000</v>
      </c>
      <c r="C16" s="25" t="s">
        <v>82</v>
      </c>
      <c r="D16" s="24">
        <v>210000</v>
      </c>
    </row>
    <row r="17" spans="1:4" x14ac:dyDescent="0.3">
      <c r="A17" s="28" t="s">
        <v>4</v>
      </c>
      <c r="B17" s="27">
        <v>800000</v>
      </c>
      <c r="C17" s="11" t="s">
        <v>4</v>
      </c>
      <c r="D17" s="24">
        <v>60000</v>
      </c>
    </row>
    <row r="18" spans="1:4" x14ac:dyDescent="0.3">
      <c r="A18" s="29" t="s">
        <v>85</v>
      </c>
      <c r="B18" s="27">
        <v>800000</v>
      </c>
      <c r="C18" s="25" t="s">
        <v>85</v>
      </c>
      <c r="D18" s="24">
        <v>60000</v>
      </c>
    </row>
    <row r="19" spans="1:4" x14ac:dyDescent="0.3">
      <c r="A19" s="26" t="s">
        <v>81</v>
      </c>
      <c r="B19" s="27">
        <v>1380000</v>
      </c>
      <c r="C19" s="10" t="s">
        <v>81</v>
      </c>
      <c r="D19" s="24">
        <v>140000</v>
      </c>
    </row>
    <row r="20" spans="1:4" x14ac:dyDescent="0.3">
      <c r="A20" s="28" t="s">
        <v>10</v>
      </c>
      <c r="B20" s="27">
        <v>1900000</v>
      </c>
      <c r="C20" s="11" t="s">
        <v>10</v>
      </c>
      <c r="D20" s="24">
        <v>200000</v>
      </c>
    </row>
    <row r="21" spans="1:4" x14ac:dyDescent="0.3">
      <c r="A21" s="29" t="s">
        <v>82</v>
      </c>
      <c r="B21" s="27">
        <v>1900000</v>
      </c>
      <c r="C21" s="25" t="s">
        <v>82</v>
      </c>
      <c r="D21" s="24">
        <v>200000</v>
      </c>
    </row>
    <row r="22" spans="1:4" x14ac:dyDescent="0.3">
      <c r="A22" s="28" t="s">
        <v>13</v>
      </c>
      <c r="B22" s="27">
        <v>1450000</v>
      </c>
      <c r="C22" s="11" t="s">
        <v>13</v>
      </c>
      <c r="D22" s="24">
        <v>150000</v>
      </c>
    </row>
    <row r="23" spans="1:4" x14ac:dyDescent="0.3">
      <c r="A23" s="29" t="s">
        <v>80</v>
      </c>
      <c r="B23" s="27">
        <v>1500000</v>
      </c>
      <c r="C23" s="25" t="s">
        <v>80</v>
      </c>
      <c r="D23" s="24">
        <v>160000</v>
      </c>
    </row>
    <row r="24" spans="1:4" x14ac:dyDescent="0.3">
      <c r="A24" s="29" t="s">
        <v>82</v>
      </c>
      <c r="B24" s="27">
        <v>1400000</v>
      </c>
      <c r="C24" s="25" t="s">
        <v>82</v>
      </c>
      <c r="D24" s="24">
        <v>140000</v>
      </c>
    </row>
    <row r="25" spans="1:4" x14ac:dyDescent="0.3">
      <c r="A25" s="28" t="s">
        <v>7</v>
      </c>
      <c r="B25" s="27">
        <v>1050000</v>
      </c>
      <c r="C25" s="11" t="s">
        <v>7</v>
      </c>
      <c r="D25" s="24">
        <v>100000</v>
      </c>
    </row>
    <row r="26" spans="1:4" x14ac:dyDescent="0.3">
      <c r="A26" s="29" t="s">
        <v>87</v>
      </c>
      <c r="B26" s="27">
        <v>1050000</v>
      </c>
      <c r="C26" s="25" t="s">
        <v>87</v>
      </c>
      <c r="D26" s="24">
        <v>100000</v>
      </c>
    </row>
    <row r="27" spans="1:4" x14ac:dyDescent="0.3">
      <c r="A27" s="28" t="s">
        <v>4</v>
      </c>
      <c r="B27" s="27">
        <v>1050000</v>
      </c>
      <c r="C27" s="11" t="s">
        <v>4</v>
      </c>
      <c r="D27" s="24">
        <v>100000</v>
      </c>
    </row>
    <row r="28" spans="1:4" x14ac:dyDescent="0.3">
      <c r="A28" s="29" t="s">
        <v>87</v>
      </c>
      <c r="B28" s="27">
        <v>1050000</v>
      </c>
      <c r="C28" s="25" t="s">
        <v>87</v>
      </c>
      <c r="D28" s="24">
        <v>100000</v>
      </c>
    </row>
    <row r="29" spans="1:4" x14ac:dyDescent="0.3">
      <c r="A29" s="26" t="s">
        <v>37</v>
      </c>
      <c r="B29" s="27">
        <v>1458571.4285714286</v>
      </c>
      <c r="C29" s="10" t="s">
        <v>37</v>
      </c>
      <c r="D29" s="24">
        <v>174285.71428571429</v>
      </c>
    </row>
    <row r="30" spans="1:4" x14ac:dyDescent="0.3">
      <c r="A30" s="28" t="s">
        <v>10</v>
      </c>
      <c r="B30" s="27">
        <v>1600000</v>
      </c>
      <c r="C30" s="11" t="s">
        <v>10</v>
      </c>
      <c r="D30" s="24">
        <v>203333.33333333334</v>
      </c>
    </row>
    <row r="31" spans="1:4" x14ac:dyDescent="0.3">
      <c r="A31" s="29" t="s">
        <v>82</v>
      </c>
      <c r="B31" s="27">
        <v>1800000</v>
      </c>
      <c r="C31" s="25" t="s">
        <v>82</v>
      </c>
      <c r="D31" s="24">
        <v>210000</v>
      </c>
    </row>
    <row r="32" spans="1:4" x14ac:dyDescent="0.3">
      <c r="A32" s="29" t="s">
        <v>85</v>
      </c>
      <c r="B32" s="27">
        <v>700000</v>
      </c>
      <c r="C32" s="25" t="s">
        <v>85</v>
      </c>
      <c r="D32" s="24">
        <v>50000</v>
      </c>
    </row>
    <row r="33" spans="1:4" x14ac:dyDescent="0.3">
      <c r="A33" s="29" t="s">
        <v>78</v>
      </c>
      <c r="B33" s="27">
        <v>2300000</v>
      </c>
      <c r="C33" s="25" t="s">
        <v>78</v>
      </c>
      <c r="D33" s="24">
        <v>350000</v>
      </c>
    </row>
    <row r="34" spans="1:4" x14ac:dyDescent="0.3">
      <c r="A34" s="28" t="s">
        <v>13</v>
      </c>
      <c r="B34" s="27">
        <v>780000</v>
      </c>
      <c r="C34" s="11" t="s">
        <v>13</v>
      </c>
      <c r="D34" s="24">
        <v>55000</v>
      </c>
    </row>
    <row r="35" spans="1:4" x14ac:dyDescent="0.3">
      <c r="A35" s="29" t="s">
        <v>85</v>
      </c>
      <c r="B35" s="27">
        <v>780000</v>
      </c>
      <c r="C35" s="25" t="s">
        <v>85</v>
      </c>
      <c r="D35" s="24">
        <v>55000</v>
      </c>
    </row>
    <row r="36" spans="1:4" x14ac:dyDescent="0.3">
      <c r="A36" s="28" t="s">
        <v>4</v>
      </c>
      <c r="B36" s="27">
        <v>1925000</v>
      </c>
      <c r="C36" s="11" t="s">
        <v>4</v>
      </c>
      <c r="D36" s="24">
        <v>250000</v>
      </c>
    </row>
    <row r="37" spans="1:4" x14ac:dyDescent="0.3">
      <c r="A37" s="29" t="s">
        <v>80</v>
      </c>
      <c r="B37" s="27">
        <v>1650000</v>
      </c>
      <c r="C37" s="25" t="s">
        <v>80</v>
      </c>
      <c r="D37" s="24">
        <v>180000</v>
      </c>
    </row>
    <row r="38" spans="1:4" x14ac:dyDescent="0.3">
      <c r="A38" s="29" t="s">
        <v>78</v>
      </c>
      <c r="B38" s="27">
        <v>2200000</v>
      </c>
      <c r="C38" s="25" t="s">
        <v>78</v>
      </c>
      <c r="D38" s="24">
        <v>320000</v>
      </c>
    </row>
    <row r="39" spans="1:4" x14ac:dyDescent="0.3">
      <c r="A39" s="26" t="s">
        <v>63</v>
      </c>
      <c r="B39" s="27">
        <v>1550000</v>
      </c>
      <c r="C39" s="10" t="s">
        <v>63</v>
      </c>
      <c r="D39" s="24">
        <v>193750</v>
      </c>
    </row>
    <row r="40" spans="1:4" x14ac:dyDescent="0.3">
      <c r="A40" s="28" t="s">
        <v>62</v>
      </c>
      <c r="B40" s="27">
        <v>1750000</v>
      </c>
      <c r="C40" s="11" t="s">
        <v>62</v>
      </c>
      <c r="D40" s="24">
        <v>245000</v>
      </c>
    </row>
    <row r="41" spans="1:4" x14ac:dyDescent="0.3">
      <c r="A41" s="29" t="s">
        <v>87</v>
      </c>
      <c r="B41" s="27">
        <v>1000000</v>
      </c>
      <c r="C41" s="25" t="s">
        <v>87</v>
      </c>
      <c r="D41" s="24">
        <v>90000</v>
      </c>
    </row>
    <row r="42" spans="1:4" x14ac:dyDescent="0.3">
      <c r="A42" s="29" t="s">
        <v>78</v>
      </c>
      <c r="B42" s="27">
        <v>2500000</v>
      </c>
      <c r="C42" s="25" t="s">
        <v>78</v>
      </c>
      <c r="D42" s="24">
        <v>400000</v>
      </c>
    </row>
    <row r="43" spans="1:4" x14ac:dyDescent="0.3">
      <c r="A43" s="28" t="s">
        <v>7</v>
      </c>
      <c r="B43" s="27">
        <v>1100000</v>
      </c>
      <c r="C43" s="11" t="s">
        <v>7</v>
      </c>
      <c r="D43" s="24">
        <v>110000</v>
      </c>
    </row>
    <row r="44" spans="1:4" x14ac:dyDescent="0.3">
      <c r="A44" s="29" t="s">
        <v>41</v>
      </c>
      <c r="B44" s="27">
        <v>1100000</v>
      </c>
      <c r="C44" s="25" t="s">
        <v>41</v>
      </c>
      <c r="D44" s="24">
        <v>110000</v>
      </c>
    </row>
    <row r="45" spans="1:4" x14ac:dyDescent="0.3">
      <c r="A45" s="28" t="s">
        <v>4</v>
      </c>
      <c r="B45" s="27">
        <v>1600000</v>
      </c>
      <c r="C45" s="11" t="s">
        <v>4</v>
      </c>
      <c r="D45" s="24">
        <v>175000</v>
      </c>
    </row>
    <row r="46" spans="1:4" x14ac:dyDescent="0.3">
      <c r="A46" s="29" t="s">
        <v>80</v>
      </c>
      <c r="B46" s="27">
        <v>1600000</v>
      </c>
      <c r="C46" s="25" t="s">
        <v>80</v>
      </c>
      <c r="D46" s="24">
        <v>175000</v>
      </c>
    </row>
    <row r="47" spans="1:4" x14ac:dyDescent="0.3">
      <c r="A47" s="26" t="s">
        <v>114</v>
      </c>
      <c r="B47" s="27">
        <v>1390400</v>
      </c>
      <c r="C47" s="10" t="s">
        <v>114</v>
      </c>
      <c r="D47" s="24">
        <v>155400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C38A-15E4-4520-AC9B-3B7E9006F982}">
  <dimension ref="A4:D18"/>
  <sheetViews>
    <sheetView tabSelected="1" workbookViewId="0">
      <selection activeCell="E21" sqref="E21"/>
    </sheetView>
  </sheetViews>
  <sheetFormatPr defaultColWidth="10.6640625" defaultRowHeight="14.4" x14ac:dyDescent="0.3"/>
  <cols>
    <col min="3" max="4" width="13" customWidth="1"/>
  </cols>
  <sheetData>
    <row r="4" spans="1:4" ht="27.6" x14ac:dyDescent="0.3">
      <c r="A4" s="34" t="s">
        <v>23</v>
      </c>
      <c r="B4" s="34" t="s">
        <v>24</v>
      </c>
      <c r="C4" s="34" t="s">
        <v>1</v>
      </c>
      <c r="D4" s="34" t="s">
        <v>32</v>
      </c>
    </row>
    <row r="5" spans="1:4" ht="15" thickBot="1" x14ac:dyDescent="0.35">
      <c r="A5" s="14" t="s">
        <v>10</v>
      </c>
      <c r="B5" s="14" t="s">
        <v>37</v>
      </c>
      <c r="C5" s="15">
        <v>700000</v>
      </c>
      <c r="D5" s="15">
        <v>50000</v>
      </c>
    </row>
    <row r="6" spans="1:4" ht="15" thickBot="1" x14ac:dyDescent="0.35">
      <c r="A6" s="14" t="s">
        <v>7</v>
      </c>
      <c r="B6" s="14" t="s">
        <v>79</v>
      </c>
      <c r="C6" s="15">
        <v>800000</v>
      </c>
      <c r="D6" s="15">
        <v>60000</v>
      </c>
    </row>
    <row r="7" spans="1:4" ht="15" thickBot="1" x14ac:dyDescent="0.35">
      <c r="A7" s="14" t="s">
        <v>62</v>
      </c>
      <c r="B7" s="14" t="s">
        <v>63</v>
      </c>
      <c r="C7" s="15">
        <v>1000000</v>
      </c>
      <c r="D7" s="15">
        <v>90000</v>
      </c>
    </row>
    <row r="8" spans="1:4" ht="15" thickBot="1" x14ac:dyDescent="0.35">
      <c r="A8" s="14" t="s">
        <v>7</v>
      </c>
      <c r="B8" s="14" t="s">
        <v>81</v>
      </c>
      <c r="C8" s="15">
        <v>1050000</v>
      </c>
      <c r="D8" s="15">
        <v>100000</v>
      </c>
    </row>
    <row r="9" spans="1:4" ht="15" thickBot="1" x14ac:dyDescent="0.35">
      <c r="A9" s="14" t="s">
        <v>4</v>
      </c>
      <c r="B9" s="14" t="s">
        <v>63</v>
      </c>
      <c r="C9" s="15">
        <v>1600000</v>
      </c>
      <c r="D9" s="15">
        <v>175000</v>
      </c>
    </row>
    <row r="10" spans="1:4" ht="15" thickBot="1" x14ac:dyDescent="0.35">
      <c r="A10" s="14" t="s">
        <v>4</v>
      </c>
      <c r="B10" s="14" t="s">
        <v>37</v>
      </c>
      <c r="C10" s="15">
        <v>1650000</v>
      </c>
      <c r="D10" s="15">
        <v>180000</v>
      </c>
    </row>
    <row r="11" spans="1:4" ht="15" thickBot="1" x14ac:dyDescent="0.35">
      <c r="A11" s="14" t="s">
        <v>62</v>
      </c>
      <c r="B11" s="14" t="s">
        <v>79</v>
      </c>
      <c r="C11" s="15">
        <v>1700000</v>
      </c>
      <c r="D11" s="15">
        <v>185000</v>
      </c>
    </row>
    <row r="12" spans="1:4" ht="15" thickBot="1" x14ac:dyDescent="0.35">
      <c r="A12" s="14" t="s">
        <v>62</v>
      </c>
      <c r="B12" s="14" t="s">
        <v>79</v>
      </c>
      <c r="C12" s="15">
        <v>1750000</v>
      </c>
      <c r="D12" s="15">
        <v>190000</v>
      </c>
    </row>
    <row r="13" spans="1:4" ht="15" thickBot="1" x14ac:dyDescent="0.35">
      <c r="A13" s="14" t="s">
        <v>10</v>
      </c>
      <c r="B13" s="14" t="s">
        <v>81</v>
      </c>
      <c r="C13" s="15">
        <v>1900000</v>
      </c>
      <c r="D13" s="15">
        <v>200000</v>
      </c>
    </row>
    <row r="14" spans="1:4" ht="15" thickBot="1" x14ac:dyDescent="0.35">
      <c r="A14" s="14" t="s">
        <v>7</v>
      </c>
      <c r="B14" s="14" t="s">
        <v>68</v>
      </c>
      <c r="C14" s="15">
        <v>1600000</v>
      </c>
      <c r="D14" s="15">
        <v>210000</v>
      </c>
    </row>
    <row r="15" spans="1:4" ht="15" thickBot="1" x14ac:dyDescent="0.35">
      <c r="A15" s="14" t="s">
        <v>10</v>
      </c>
      <c r="B15" s="14" t="s">
        <v>37</v>
      </c>
      <c r="C15" s="15">
        <v>1800000</v>
      </c>
      <c r="D15" s="15">
        <v>210000</v>
      </c>
    </row>
    <row r="16" spans="1:4" ht="15" thickBot="1" x14ac:dyDescent="0.35">
      <c r="A16" s="14" t="s">
        <v>4</v>
      </c>
      <c r="B16" s="14" t="s">
        <v>37</v>
      </c>
      <c r="C16" s="15">
        <v>2200000</v>
      </c>
      <c r="D16" s="15">
        <v>320000</v>
      </c>
    </row>
    <row r="17" spans="1:4" ht="15" thickBot="1" x14ac:dyDescent="0.35">
      <c r="A17" s="14" t="s">
        <v>10</v>
      </c>
      <c r="B17" s="14" t="s">
        <v>37</v>
      </c>
      <c r="C17" s="15">
        <v>2300000</v>
      </c>
      <c r="D17" s="15">
        <v>350000</v>
      </c>
    </row>
    <row r="18" spans="1:4" x14ac:dyDescent="0.3">
      <c r="A18" s="35" t="s">
        <v>62</v>
      </c>
      <c r="B18" s="35" t="s">
        <v>63</v>
      </c>
      <c r="C18" s="36">
        <v>2500000</v>
      </c>
      <c r="D18" s="36">
        <v>400000</v>
      </c>
    </row>
  </sheetData>
  <conditionalFormatting sqref="C4:D18">
    <cfRule type="cellIs" dxfId="2" priority="2" operator="greaterThan">
      <formula>2000000</formula>
    </cfRule>
  </conditionalFormatting>
  <conditionalFormatting sqref="D4:D18">
    <cfRule type="cellIs" dxfId="0" priority="1" operator="greaterThan">
      <formula>300000</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vt:lpstr>
      <vt:lpstr>A Data</vt:lpstr>
      <vt:lpstr>B</vt:lpstr>
      <vt:lpstr>B Extension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Nandita Naithani</dc:creator>
  <cp:lastModifiedBy>Rhea sharma</cp:lastModifiedBy>
  <dcterms:created xsi:type="dcterms:W3CDTF">2025-05-27T05:55:55Z</dcterms:created>
  <dcterms:modified xsi:type="dcterms:W3CDTF">2026-01-07T18:44:19Z</dcterms:modified>
</cp:coreProperties>
</file>